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8_{3A72D24B-A701-42C6-9A74-690D56CCAB55}" xr6:coauthVersionLast="47" xr6:coauthVersionMax="47" xr10:uidLastSave="{00000000-0000-0000-0000-000000000000}"/>
  <bookViews>
    <workbookView xWindow="-110" yWindow="-110" windowWidth="19420" windowHeight="10300" tabRatio="956" activeTab="7" xr2:uid="{00000000-000D-0000-FFFF-FFFF00000000}"/>
  </bookViews>
  <sheets>
    <sheet name="MASTER PLAN" sheetId="8" r:id="rId1"/>
    <sheet name="Sheet1" sheetId="20" state="hidden" r:id="rId2"/>
    <sheet name="PA Q4.2021" sheetId="21" state="hidden" r:id="rId3"/>
    <sheet name="BUDGET" sheetId="18" r:id="rId4"/>
    <sheet name="KPI&amp; CRT%" sheetId="17" r:id="rId5"/>
    <sheet name="KSF MKT" sheetId="1" r:id="rId6"/>
    <sheet name="Ngân sách dự phòng" sheetId="3" r:id="rId7"/>
    <sheet name="Phân loại điểm bán GT" sheetId="4" r:id="rId8"/>
    <sheet name="Phân loại điểm bán MT" sheetId="6" r:id="rId9"/>
    <sheet name="Đặc tính outlet GT &amp; MT" sheetId="5" r:id="rId10"/>
    <sheet name="5W1H PLAN" sheetId="19" r:id="rId11"/>
    <sheet name="Direct MKT (cust-shop)" sheetId="2" r:id="rId12"/>
    <sheet name="Consumer Image &amp; behavior (end)" sheetId="7" r:id="rId13"/>
    <sheet name="PROF  &amp; SOLUTION" sheetId="9" r:id="rId14"/>
    <sheet name="Định hướng IMC" sheetId="10" r:id="rId15"/>
    <sheet name="CL tích hợp" sheetId="11" r:id="rId16"/>
    <sheet name="Trade MKT" sheetId="12" state="hidden" r:id="rId17"/>
    <sheet name="Brand Mkt" sheetId="13" state="hidden" r:id="rId18"/>
    <sheet name="PR Plan" sheetId="14" state="hidden" r:id="rId19"/>
    <sheet name="Product Plan" sheetId="15" state="hidden" r:id="rId20"/>
    <sheet name="COMBINE PLAN" sheetId="16" state="hidden" r:id="rId21"/>
  </sheets>
  <definedNames>
    <definedName name="_xlchart.v1.0" hidden="1">'Phân loại điểm bán GT'!$D$32:$AB$32</definedName>
    <definedName name="_xlchart.v1.1" hidden="1">'Phân loại điểm bán GT'!$D$33:$AB$33</definedName>
    <definedName name="_xlchart.v1.2" hidden="1">'Phân loại điểm bán GT'!$D$34:$AB$34</definedName>
    <definedName name="_xlchart.v1.3" hidden="1">'Phân loại điểm bán GT'!$D$35:$AB$35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20" l="1"/>
  <c r="H44" i="20"/>
  <c r="H45" i="20"/>
  <c r="H46" i="20"/>
  <c r="H43" i="20"/>
  <c r="H39" i="20"/>
  <c r="H40" i="20"/>
  <c r="H41" i="20"/>
  <c r="H38" i="20"/>
  <c r="H34" i="20"/>
  <c r="H35" i="20"/>
  <c r="H36" i="20"/>
  <c r="H33" i="20"/>
  <c r="H28" i="20"/>
  <c r="H26" i="20"/>
  <c r="J24" i="20"/>
  <c r="J27" i="20" s="1"/>
  <c r="K24" i="20"/>
  <c r="K27" i="20" s="1"/>
  <c r="I24" i="20"/>
  <c r="I27" i="20" s="1"/>
  <c r="G18" i="20"/>
  <c r="H18" i="20"/>
  <c r="F18" i="20"/>
  <c r="G16" i="20"/>
  <c r="G17" i="20" s="1"/>
  <c r="H16" i="20"/>
  <c r="H17" i="20" s="1"/>
  <c r="F16" i="20"/>
  <c r="F17" i="20" s="1"/>
  <c r="I10" i="20"/>
  <c r="N10" i="20" s="1"/>
  <c r="J26" i="20" l="1"/>
  <c r="J28" i="20"/>
  <c r="K28" i="20"/>
  <c r="I28" i="20"/>
  <c r="I26" i="20"/>
  <c r="K26" i="20"/>
  <c r="I11" i="20"/>
  <c r="I9" i="20" s="1"/>
  <c r="N11" i="20"/>
  <c r="N9" i="20" s="1"/>
  <c r="R10" i="20"/>
  <c r="R11" i="20" s="1"/>
  <c r="R9" i="20" s="1"/>
  <c r="V10" i="20" l="1"/>
  <c r="V11" i="20" s="1"/>
  <c r="V9" i="20" s="1"/>
  <c r="G29" i="8" l="1"/>
  <c r="G33" i="8"/>
  <c r="G31" i="8"/>
  <c r="S74" i="19" l="1"/>
  <c r="S66" i="19"/>
  <c r="Y68" i="19"/>
  <c r="Y67" i="19"/>
  <c r="Y66" i="19"/>
  <c r="Y65" i="19"/>
  <c r="S90" i="19" l="1"/>
  <c r="H57" i="18"/>
  <c r="H58" i="18" s="1"/>
  <c r="M13" i="17" l="1"/>
  <c r="M14" i="17"/>
  <c r="M15" i="17"/>
  <c r="M12" i="17"/>
  <c r="E24" i="17"/>
  <c r="F16" i="17"/>
  <c r="F9" i="17"/>
  <c r="E16" i="17"/>
  <c r="E21" i="17" s="1"/>
  <c r="C58" i="18" l="1"/>
  <c r="I50" i="18" l="1"/>
  <c r="H50" i="18"/>
  <c r="G43" i="18"/>
  <c r="G37" i="18"/>
  <c r="E28" i="18"/>
  <c r="E27" i="18"/>
  <c r="D28" i="18"/>
  <c r="D27" i="18"/>
  <c r="G8" i="18"/>
  <c r="G11" i="1"/>
  <c r="F26" i="18"/>
  <c r="F28" i="18" s="1"/>
  <c r="F17" i="18"/>
  <c r="F14" i="18"/>
  <c r="F15" i="18" s="1"/>
  <c r="E16" i="18"/>
  <c r="E15" i="18"/>
  <c r="D16" i="18"/>
  <c r="D15" i="18"/>
  <c r="F16" i="18" l="1"/>
  <c r="F27" i="18"/>
  <c r="G9" i="18" l="1"/>
  <c r="F9" i="18"/>
  <c r="E9" i="18"/>
  <c r="G10" i="18" s="1"/>
  <c r="D8" i="18"/>
  <c r="D9" i="18" s="1"/>
  <c r="G11" i="18" l="1"/>
  <c r="G51" i="18" s="1"/>
  <c r="H9" i="18"/>
  <c r="M6" i="17" l="1"/>
  <c r="M5" i="17"/>
  <c r="H18" i="17"/>
  <c r="J18" i="17" s="1"/>
  <c r="L18" i="17" s="1"/>
  <c r="N18" i="17" s="1"/>
  <c r="P18" i="17" s="1"/>
  <c r="H19" i="17"/>
  <c r="J19" i="17" s="1"/>
  <c r="L19" i="17" s="1"/>
  <c r="N19" i="17" s="1"/>
  <c r="P19" i="17" s="1"/>
  <c r="H20" i="17"/>
  <c r="J20" i="17" s="1"/>
  <c r="L20" i="17" s="1"/>
  <c r="N20" i="17" s="1"/>
  <c r="P20" i="17" s="1"/>
  <c r="H17" i="17"/>
  <c r="J17" i="17" s="1"/>
  <c r="L17" i="17" s="1"/>
  <c r="N17" i="17" s="1"/>
  <c r="P17" i="17" s="1"/>
  <c r="F13" i="17" l="1"/>
  <c r="H13" i="17" s="1"/>
  <c r="J13" i="17" s="1"/>
  <c r="L13" i="17" s="1"/>
  <c r="N13" i="17" s="1"/>
  <c r="P13" i="17" s="1"/>
  <c r="F14" i="17"/>
  <c r="H14" i="17" s="1"/>
  <c r="J14" i="17" s="1"/>
  <c r="L14" i="17" s="1"/>
  <c r="N14" i="17" s="1"/>
  <c r="P14" i="17" s="1"/>
  <c r="F15" i="17"/>
  <c r="H15" i="17" s="1"/>
  <c r="J15" i="17" s="1"/>
  <c r="L15" i="17" s="1"/>
  <c r="N15" i="17" s="1"/>
  <c r="P15" i="17" s="1"/>
  <c r="F12" i="17"/>
  <c r="F8" i="17"/>
  <c r="H8" i="17" s="1"/>
  <c r="J8" i="17" s="1"/>
  <c r="L8" i="17" s="1"/>
  <c r="N8" i="17" s="1"/>
  <c r="P8" i="17" s="1"/>
  <c r="F10" i="17"/>
  <c r="H10" i="17" s="1"/>
  <c r="J10" i="17" s="1"/>
  <c r="L10" i="17" s="1"/>
  <c r="N10" i="17" s="1"/>
  <c r="P10" i="17" s="1"/>
  <c r="F6" i="17"/>
  <c r="H6" i="17" s="1"/>
  <c r="J6" i="17" s="1"/>
  <c r="L6" i="17" s="1"/>
  <c r="N6" i="17" s="1"/>
  <c r="P6" i="17" s="1"/>
  <c r="F5" i="17"/>
  <c r="F4" i="17" s="1"/>
  <c r="G27" i="8"/>
  <c r="G25" i="8"/>
  <c r="G5" i="8"/>
  <c r="G28" i="8"/>
  <c r="G4" i="1"/>
  <c r="G26" i="8"/>
  <c r="G3" i="1"/>
  <c r="G23" i="8"/>
  <c r="G24" i="8"/>
  <c r="H2" i="1"/>
  <c r="G2" i="1"/>
  <c r="G1" i="1"/>
  <c r="G15" i="8"/>
  <c r="I11" i="8"/>
  <c r="N11" i="8" s="1"/>
  <c r="R11" i="8" s="1"/>
  <c r="R12" i="8" s="1"/>
  <c r="R10" i="8" s="1"/>
  <c r="G13" i="8"/>
  <c r="B2" i="8"/>
  <c r="H12" i="17" l="1"/>
  <c r="J12" i="17" s="1"/>
  <c r="L12" i="17" s="1"/>
  <c r="N12" i="17" s="1"/>
  <c r="P12" i="17" s="1"/>
  <c r="F11" i="17"/>
  <c r="F22" i="17" s="1"/>
  <c r="H5" i="17"/>
  <c r="J5" i="17" s="1"/>
  <c r="L5" i="17" s="1"/>
  <c r="N5" i="17" s="1"/>
  <c r="P5" i="17" s="1"/>
  <c r="E25" i="17" s="1"/>
  <c r="G20" i="8"/>
  <c r="V11" i="8"/>
  <c r="V12" i="8" s="1"/>
  <c r="V10" i="8" s="1"/>
  <c r="I12" i="8"/>
  <c r="I10" i="8" s="1"/>
  <c r="N12" i="8"/>
  <c r="N10" i="8" s="1"/>
  <c r="Q5" i="10"/>
  <c r="S6" i="10"/>
  <c r="S8" i="10"/>
  <c r="S9" i="10"/>
  <c r="S10" i="10"/>
  <c r="S7" i="10"/>
  <c r="Z12" i="10"/>
  <c r="Z11" i="10"/>
  <c r="Z13" i="10" s="1"/>
  <c r="Y11" i="10"/>
  <c r="X11" i="10"/>
  <c r="W10" i="10"/>
  <c r="W11" i="10" s="1"/>
  <c r="AA11" i="10" l="1"/>
  <c r="D32" i="6" l="1"/>
  <c r="C20" i="2"/>
  <c r="D17" i="2" s="1"/>
  <c r="D16" i="2" l="1"/>
  <c r="D19" i="2"/>
  <c r="D18" i="2"/>
  <c r="D15" i="2"/>
  <c r="D20" i="2"/>
  <c r="E32" i="6"/>
  <c r="F32" i="6"/>
  <c r="G32" i="6"/>
  <c r="H32" i="6"/>
  <c r="I32" i="6"/>
  <c r="E13" i="6"/>
  <c r="F13" i="6"/>
  <c r="G13" i="6"/>
  <c r="H13" i="6"/>
  <c r="I13" i="6"/>
  <c r="D13" i="6"/>
  <c r="E2" i="6"/>
  <c r="F2" i="6"/>
  <c r="G2" i="6"/>
  <c r="H2" i="6"/>
  <c r="I2" i="6"/>
  <c r="D2" i="6"/>
  <c r="B16" i="6"/>
  <c r="B17" i="6" s="1"/>
  <c r="B18" i="6" s="1"/>
  <c r="B19" i="6" s="1"/>
  <c r="B20" i="6" s="1"/>
  <c r="B21" i="6" s="1"/>
  <c r="B22" i="6" s="1"/>
  <c r="B23" i="6" s="1"/>
  <c r="B24" i="6" s="1"/>
  <c r="B25" i="6" s="1"/>
  <c r="B26" i="6" s="1"/>
  <c r="B27" i="6" s="1"/>
  <c r="B28" i="6" s="1"/>
  <c r="B29" i="6" s="1"/>
  <c r="B30" i="6" s="1"/>
  <c r="B11" i="6"/>
  <c r="B5" i="6"/>
  <c r="B6" i="6" s="1"/>
  <c r="B7" i="6" s="1"/>
  <c r="B8" i="6" s="1"/>
  <c r="B9" i="6" s="1"/>
  <c r="B34" i="6" l="1"/>
  <c r="B35" i="6" s="1"/>
  <c r="B36" i="6" s="1"/>
  <c r="B37" i="6" s="1"/>
  <c r="B38" i="6" s="1"/>
  <c r="B39" i="6" s="1"/>
  <c r="B40" i="6" s="1"/>
  <c r="B41" i="6" s="1"/>
  <c r="B42" i="6" s="1"/>
  <c r="B43" i="6" s="1"/>
  <c r="B44" i="6" s="1"/>
  <c r="B45" i="6" s="1"/>
  <c r="C11" i="2" l="1"/>
  <c r="D9" i="2" s="1"/>
  <c r="D8" i="2" l="1"/>
  <c r="D7" i="2"/>
  <c r="D6" i="2"/>
  <c r="D5" i="2"/>
  <c r="D4" i="2"/>
  <c r="D10" i="2"/>
  <c r="I16" i="3"/>
  <c r="I17" i="3"/>
  <c r="H16" i="3"/>
  <c r="H18" i="3" s="1"/>
  <c r="H17" i="3"/>
  <c r="F18" i="3"/>
  <c r="D18" i="3"/>
  <c r="C16" i="3" s="1"/>
  <c r="E16" i="3"/>
  <c r="G16" i="3" s="1"/>
  <c r="E17" i="3"/>
  <c r="G17" i="3" s="1"/>
  <c r="E15" i="3"/>
  <c r="C11" i="3"/>
  <c r="C12" i="3" s="1"/>
  <c r="E12" i="1"/>
  <c r="G12" i="1"/>
  <c r="E76" i="4"/>
  <c r="E75" i="4"/>
  <c r="E74" i="4"/>
  <c r="E71" i="4"/>
  <c r="E73" i="4"/>
  <c r="E72" i="4"/>
  <c r="E36" i="4"/>
  <c r="F36" i="4"/>
  <c r="G36" i="4"/>
  <c r="H36" i="4"/>
  <c r="I36" i="4"/>
  <c r="J36" i="4"/>
  <c r="K36" i="4"/>
  <c r="L36" i="4"/>
  <c r="M36" i="4"/>
  <c r="N36" i="4"/>
  <c r="O36" i="4"/>
  <c r="P36" i="4"/>
  <c r="Q36" i="4"/>
  <c r="S36" i="4"/>
  <c r="T36" i="4"/>
  <c r="U36" i="4"/>
  <c r="V36" i="4"/>
  <c r="W36" i="4"/>
  <c r="X36" i="4"/>
  <c r="Y36" i="4"/>
  <c r="Z36" i="4"/>
  <c r="AA36" i="4"/>
  <c r="AB36" i="4"/>
  <c r="D36" i="4"/>
  <c r="R34" i="4"/>
  <c r="R36" i="4" s="1"/>
  <c r="L34" i="4"/>
  <c r="C17" i="3" l="1"/>
  <c r="D11" i="2"/>
  <c r="C15" i="3"/>
  <c r="C18" i="3" s="1"/>
  <c r="E18" i="3"/>
  <c r="Q10" i="4" l="1"/>
  <c r="K10" i="4"/>
  <c r="B10" i="4" s="1"/>
  <c r="B11" i="4" l="1"/>
  <c r="U6" i="1" l="1"/>
  <c r="F12" i="1"/>
  <c r="C9" i="4"/>
  <c r="R9" i="1" l="1"/>
  <c r="R10" i="1"/>
  <c r="R11" i="1"/>
  <c r="R12" i="1"/>
  <c r="R8" i="1"/>
  <c r="Q9" i="1"/>
  <c r="Q10" i="1"/>
  <c r="Q11" i="1"/>
  <c r="Q8" i="1"/>
  <c r="R13" i="1" l="1"/>
  <c r="K12" i="1"/>
  <c r="Q12" i="1" s="1"/>
  <c r="Q13" i="1" s="1"/>
  <c r="P13" i="1"/>
  <c r="O13" i="1"/>
  <c r="N13" i="1"/>
  <c r="L13" i="1"/>
  <c r="M13" i="1"/>
  <c r="R43" i="1"/>
  <c r="Q43" i="1"/>
  <c r="R40" i="1"/>
  <c r="R41" i="1"/>
  <c r="R39" i="1"/>
  <c r="Q40" i="1"/>
  <c r="Q41" i="1"/>
  <c r="Q39" i="1"/>
  <c r="R35" i="1"/>
  <c r="R36" i="1"/>
  <c r="R34" i="1"/>
  <c r="Q35" i="1"/>
  <c r="Q36" i="1"/>
  <c r="Q34" i="1"/>
  <c r="R25" i="1"/>
  <c r="R26" i="1"/>
  <c r="R24" i="1"/>
  <c r="Q25" i="1"/>
  <c r="Q26" i="1"/>
  <c r="Q24" i="1"/>
  <c r="Q20" i="1"/>
  <c r="Q21" i="1"/>
  <c r="Q19" i="1"/>
  <c r="M43" i="1"/>
  <c r="M44" i="1" s="1"/>
  <c r="P43" i="1"/>
  <c r="P40" i="1"/>
  <c r="P41" i="1"/>
  <c r="P39" i="1"/>
  <c r="P35" i="1"/>
  <c r="P36" i="1"/>
  <c r="P34" i="1"/>
  <c r="P30" i="1"/>
  <c r="P31" i="1"/>
  <c r="P29" i="1"/>
  <c r="P25" i="1"/>
  <c r="P26" i="1"/>
  <c r="P24" i="1"/>
  <c r="N38" i="1"/>
  <c r="N33" i="1"/>
  <c r="N28" i="1"/>
  <c r="N23" i="1"/>
  <c r="M40" i="1"/>
  <c r="M41" i="1"/>
  <c r="M39" i="1"/>
  <c r="M35" i="1"/>
  <c r="M36" i="1"/>
  <c r="M34" i="1"/>
  <c r="M29" i="1"/>
  <c r="M30" i="1"/>
  <c r="M31" i="1"/>
  <c r="N18" i="1"/>
  <c r="O20" i="1" s="1"/>
  <c r="K13" i="1" l="1"/>
  <c r="P20" i="1"/>
  <c r="R20" i="1"/>
  <c r="O19" i="1"/>
  <c r="O21" i="1"/>
  <c r="M25" i="1"/>
  <c r="M26" i="1"/>
  <c r="M24" i="1"/>
  <c r="M20" i="1"/>
  <c r="M21" i="1"/>
  <c r="M19" i="1"/>
  <c r="D38" i="1"/>
  <c r="D39" i="1" s="1"/>
  <c r="G39" i="1" s="1"/>
  <c r="D37" i="1"/>
  <c r="G37" i="1" s="1"/>
  <c r="D36" i="1"/>
  <c r="G36" i="1" s="1"/>
  <c r="D35" i="1"/>
  <c r="G35" i="1" s="1"/>
  <c r="H35" i="1" s="1"/>
  <c r="D34" i="1"/>
  <c r="G34" i="1" s="1"/>
  <c r="H34" i="1" s="1"/>
  <c r="D32" i="1"/>
  <c r="G32" i="1" s="1"/>
  <c r="D31" i="1"/>
  <c r="G31" i="1" s="1"/>
  <c r="D30" i="1"/>
  <c r="G30" i="1" s="1"/>
  <c r="D29" i="1"/>
  <c r="G29" i="1" s="1"/>
  <c r="D27" i="1"/>
  <c r="G27" i="1" s="1"/>
  <c r="D26" i="1"/>
  <c r="G26" i="1" s="1"/>
  <c r="D25" i="1"/>
  <c r="G25" i="1" s="1"/>
  <c r="D24" i="1"/>
  <c r="G24" i="1" s="1"/>
  <c r="D22" i="1"/>
  <c r="G22" i="1" s="1"/>
  <c r="D21" i="1"/>
  <c r="G21" i="1" s="1"/>
  <c r="D20" i="1"/>
  <c r="G20" i="1" s="1"/>
  <c r="D19" i="1"/>
  <c r="G19" i="1" s="1"/>
  <c r="D11" i="1"/>
  <c r="D12" i="1" s="1"/>
  <c r="D40" i="1" l="1"/>
  <c r="G40" i="1" s="1"/>
  <c r="D43" i="1"/>
  <c r="P21" i="1"/>
  <c r="R21" i="1"/>
  <c r="R19" i="1"/>
  <c r="P19" i="1"/>
  <c r="G18" i="1"/>
  <c r="H18" i="1" s="1"/>
  <c r="H12" i="1"/>
  <c r="G28" i="1"/>
  <c r="H28" i="1" s="1"/>
  <c r="G33" i="1"/>
  <c r="H33" i="1" s="1"/>
  <c r="H37" i="1" s="1"/>
  <c r="G23" i="1"/>
  <c r="H23" i="1" s="1"/>
  <c r="D41" i="1"/>
  <c r="G41" i="1" s="1"/>
  <c r="D42" i="1"/>
  <c r="G42" i="1" s="1"/>
  <c r="G38" i="1" l="1"/>
  <c r="H38" i="1" s="1"/>
  <c r="H41" i="1" s="1"/>
  <c r="H22" i="1"/>
  <c r="H20" i="1"/>
  <c r="H21" i="1"/>
  <c r="H39" i="1"/>
  <c r="H19" i="1"/>
  <c r="H36" i="1"/>
  <c r="H42" i="1"/>
  <c r="H40" i="1"/>
  <c r="H32" i="1"/>
  <c r="H31" i="1"/>
  <c r="H30" i="1"/>
  <c r="H29" i="1"/>
  <c r="G43" i="1"/>
  <c r="G13" i="1" s="1"/>
  <c r="G14" i="1" s="1"/>
  <c r="H43" i="1" l="1"/>
</calcChain>
</file>

<file path=xl/sharedStrings.xml><?xml version="1.0" encoding="utf-8"?>
<sst xmlns="http://schemas.openxmlformats.org/spreadsheetml/2006/main" count="1058" uniqueCount="637">
  <si>
    <t>Bánh tươi truyền thống</t>
  </si>
  <si>
    <t>Bánh Waffles Kisshu</t>
  </si>
  <si>
    <t>Bánh SWH</t>
  </si>
  <si>
    <t>Bánh SWH - SW</t>
  </si>
  <si>
    <t>Target</t>
  </si>
  <si>
    <t>Ngành</t>
  </si>
  <si>
    <t>TT</t>
  </si>
  <si>
    <t>% BUDGET</t>
  </si>
  <si>
    <t>BUDGET</t>
  </si>
  <si>
    <t>Bánh Khô (FERETTI)</t>
  </si>
  <si>
    <t>Ghi chú</t>
  </si>
  <si>
    <t>Kh mkt đề xuất</t>
  </si>
  <si>
    <t>theo tháng</t>
  </si>
  <si>
    <t>Total</t>
  </si>
  <si>
    <t>Chia tỉ trọng, total 37t5</t>
  </si>
  <si>
    <t>Bánh khô còn lại</t>
  </si>
  <si>
    <t>Doanh thu nhãn khô</t>
  </si>
  <si>
    <t>Doanh số</t>
  </si>
  <si>
    <t>Doanh thu</t>
  </si>
  <si>
    <t>Target doanh số</t>
  </si>
  <si>
    <t>Target doanh thu</t>
  </si>
  <si>
    <t>% TOT</t>
  </si>
  <si>
    <t>NPP</t>
  </si>
  <si>
    <t>ĐL</t>
  </si>
  <si>
    <t>KA</t>
  </si>
  <si>
    <t>MT</t>
  </si>
  <si>
    <t>Tỉ trọng kênh</t>
  </si>
  <si>
    <t xml:space="preserve">MT </t>
  </si>
  <si>
    <t>Budget MKT by chanel</t>
  </si>
  <si>
    <t>Budget dự phòng</t>
  </si>
  <si>
    <t>Nhóm khô Tràng An</t>
  </si>
  <si>
    <t>Bánh SW + Waffle</t>
  </si>
  <si>
    <t>Bằng hàng trích từ MKT</t>
  </si>
  <si>
    <t>Phân bố tỉ trọng ngân sách nhóm sản phẩm</t>
  </si>
  <si>
    <t>Phân bổ tỉ trọng theo vùng kinh doanh</t>
  </si>
  <si>
    <t>Vùng</t>
  </si>
  <si>
    <t>Vùng 1</t>
  </si>
  <si>
    <t>Vùng 2</t>
  </si>
  <si>
    <t>Vùng 3</t>
  </si>
  <si>
    <t>Tỉ trọng dựa HC</t>
  </si>
  <si>
    <t>MCP Tổng</t>
  </si>
  <si>
    <t>Tỉ trọng dựa Trên MCP</t>
  </si>
  <si>
    <t>Doanh thu mục tiêu</t>
  </si>
  <si>
    <t>Budget MKT by  (HC)</t>
  </si>
  <si>
    <t>Budget MKT by MCP</t>
  </si>
  <si>
    <t>Bánh truyền thống</t>
  </si>
  <si>
    <t xml:space="preserve">Bánh Waffles </t>
  </si>
  <si>
    <t>Bánh FERETTI</t>
  </si>
  <si>
    <t>Bánh khô</t>
  </si>
  <si>
    <t>BUDGET BY HC</t>
  </si>
  <si>
    <t>BUDGET BY MCP</t>
  </si>
  <si>
    <t>Nhóm sp</t>
  </si>
  <si>
    <t>trích lập từ các kênh ko MKT</t>
  </si>
  <si>
    <t>BUDGET NSP theo MCP</t>
  </si>
  <si>
    <t>BUDGET NSP theo HC</t>
  </si>
  <si>
    <t>Bằng hàng trích từ MKT, các kênh không cần thiết</t>
  </si>
  <si>
    <t>Phân loại điểm bán</t>
  </si>
  <si>
    <t>Cửa hàng chuyên doanh kẹo</t>
  </si>
  <si>
    <t>Cửa hàng chuyên doanh sữa - có tủ đông</t>
  </si>
  <si>
    <t>Cửa hàng tiện lợi GT - ko đông/ có đông</t>
  </si>
  <si>
    <t>Cửa hàng trọng điểm - mặt tiền</t>
  </si>
  <si>
    <t>Cửa hàng trong điểm mặt tiền có tủ đông</t>
  </si>
  <si>
    <t>Cửa hàng trọng điểm trong hẽm / ngõ</t>
  </si>
  <si>
    <t>Cửa hàng trọng điểm trong hẽm / ngõ - có tủ đông</t>
  </si>
  <si>
    <t>Karaoke - quán ăn</t>
  </si>
  <si>
    <t>Sỉ bị động</t>
  </si>
  <si>
    <t>Sỉ chủ động</t>
  </si>
  <si>
    <t>Khác</t>
  </si>
  <si>
    <t>Tạp hóa- bên ngoài chợ</t>
  </si>
  <si>
    <t>Tạp hoá - Nhỏ - trong hẽm/ngõ - Đi vào - Có tủ đông</t>
  </si>
  <si>
    <t>Tạp hoá - Nhỏ - trong hẽm/ngõ - Đi vào</t>
  </si>
  <si>
    <t>Tạp hoá - Nhỏ - trong hẽm/ngõ - Đứng ngoài</t>
  </si>
  <si>
    <t>Tạp hoá - Nhỏ - trong hẽm/ngõ - Đứng ngoài - Có tủ đông</t>
  </si>
  <si>
    <t>Cấp 1</t>
  </si>
  <si>
    <t>Cấp 2</t>
  </si>
  <si>
    <t>Cấp 3</t>
  </si>
  <si>
    <t>Sampling</t>
  </si>
  <si>
    <t>Tạp hoá - Nhỏ - mặt đường - Đứng ngoài- có tủ đông</t>
  </si>
  <si>
    <t xml:space="preserve">Tạp hoá - Nhỏ - mặt đường - Đứng ngoài- </t>
  </si>
  <si>
    <t>Tạp hoá - Lớn - mặt đường - Đi vào/ra,  có/ không tủ</t>
  </si>
  <si>
    <t>Tạp hóa trong chợ</t>
  </si>
  <si>
    <t>OUTLET</t>
  </si>
  <si>
    <t>KHác</t>
  </si>
  <si>
    <t>Định danh chi tiết lại khu vực HCM</t>
  </si>
  <si>
    <t>South</t>
  </si>
  <si>
    <t>Tạp Hóa</t>
  </si>
  <si>
    <t>Sỉ</t>
  </si>
  <si>
    <t>Horeca</t>
  </si>
  <si>
    <t>CH chuyên doanh</t>
  </si>
  <si>
    <t xml:space="preserve">Cửa hàng siêu nhỏ/ quán cóc có hàng </t>
  </si>
  <si>
    <t>Kênh</t>
  </si>
  <si>
    <t>Volume</t>
  </si>
  <si>
    <t>Trích dự phòng ngân sách/ doanh thu dự trên định mức chi phí</t>
  </si>
  <si>
    <t>INCOME</t>
  </si>
  <si>
    <t>Total Budget dự phòng</t>
  </si>
  <si>
    <t>Income dự kiến bánh Waffles</t>
  </si>
  <si>
    <t>Income dự kiến bánh tươi</t>
  </si>
  <si>
    <t>Cost HTL</t>
  </si>
  <si>
    <t>Tỉ trọng</t>
  </si>
  <si>
    <t>INCOME ESTIMATE</t>
  </si>
  <si>
    <t>Add  % hỗ trợ</t>
  </si>
  <si>
    <t>Income dự kiến bánh swh sku mới</t>
  </si>
  <si>
    <t>%HTL add budget</t>
  </si>
  <si>
    <t>%HTL/ tháng</t>
  </si>
  <si>
    <t>% Add bằng NS MKT</t>
  </si>
  <si>
    <t>Ngân sách dư MKT sẽ dự chi vào tăng % HTL cho các dòng sp mới chuẩn bị tung ra trên thị trường</t>
  </si>
  <si>
    <t>ĐẶC ĐIỂM SHOP TRONG HỆ THỐNG PHÂN PHỐI</t>
  </si>
  <si>
    <t>Đặc thù</t>
  </si>
  <si>
    <t>Đa dạng ngành hàng</t>
  </si>
  <si>
    <t>Công cụ xây dựng hình ảnh</t>
  </si>
  <si>
    <t>- Shelf, counter
- Lightbox
- Signboard
- Display
- POSM: small one
- Demo board or mock-up</t>
  </si>
  <si>
    <t>Build trials</t>
  </si>
  <si>
    <t>Activation</t>
  </si>
  <si>
    <t>- Brand fair, cate fair, co-promotion
- Premium, contest, small events, etc.</t>
  </si>
  <si>
    <t>Điểm bán</t>
  </si>
  <si>
    <t>Cửa hàng siêu nhỏ</t>
  </si>
  <si>
    <t>Hàng tổng hợp theo lĩnh vực đang phân phối. Khá năng lấy hàng mới thông thường qua mối quan hệ/ quen biết, đánh giá rất kỹ dòng hàng trước khi triển khai</t>
  </si>
  <si>
    <t xml:space="preserve">Thấp - Trung bình - tuy nhiên hàng phải có chất lượng/bao bì mẫu mã ổn </t>
  </si>
  <si>
    <t>HORECA</t>
  </si>
  <si>
    <t>SỈ</t>
  </si>
  <si>
    <t>CH trọng điểm</t>
  </si>
  <si>
    <t>Sales Conference/ Business meeting</t>
  </si>
  <si>
    <t>Price Strategy/ giao hàng</t>
  </si>
  <si>
    <t>Hàng hóa đa dạng (đồ khô,thực phẩm, thực phẩm khô…) - hàng giá rẻ…</t>
  </si>
  <si>
    <t>Thấp - trung bình - nhưng hàng có thương hiệu</t>
  </si>
  <si>
    <t>Mua hàng theo volume nhỏ - trung bình, cửa hàng vị trí tại hẽm, ngỏ,mặt tiền tại các khu dân cư/ diện tích nhỏ =&gt; trung bình ( 3- 4 mặt tiền)/ chủ yếu hàng tại nhà ,không kho bãi.</t>
  </si>
  <si>
    <t>Mua hàng khối lượng trung bình - lớn. Có hệ thống cấp 1,2 để đi hàng. Yếu tố về giá bán sát để chạy hàng nhanh, lợi nhuận/ sku thấp nhưng volume cao Có hệ thống xe tải, vận chuyển kho bãi.</t>
  </si>
  <si>
    <t>Hình ảnh xe nhận diện giao hàng/ nhận diện xe con/ xe máy giao hàng của kênh sỉ</t>
  </si>
  <si>
    <t>sampling/ demonstration/ trưng bày/ mua thử/ score card điểm bán</t>
  </si>
  <si>
    <t>Build Frequency</t>
  </si>
  <si>
    <t>Build more volume</t>
  </si>
  <si>
    <t>Build up</t>
  </si>
  <si>
    <t>Demo/ Display/ POSM</t>
  </si>
  <si>
    <t>CRITERIA RANK/ UP RANK CHANNEL</t>
  </si>
  <si>
    <t>BOGOF/CASHBACK/EXTRA/MONEY NEXT PC / MULTI PACK</t>
  </si>
  <si>
    <t>DISPLAY/ CASBACK AFTER PROMO</t>
  </si>
  <si>
    <t>Mua hàng volume trung bình lớn, visit đông/ Chiên lược đa dạng hàng hóa với giá mức giá tố =&gt; chiến địa của các ngành hàng. Bán chủ yếu thương hiệu quen./ xác nhận độc quyền thì sẽ ôm hàng mới</t>
  </si>
  <si>
    <t>Hai/ Ba mặt hàng số lượng lớn =&gt; chạy hàng. Các hàng khác chỉ cho có hàng , bảo dảm phục vụ nhu cầu khách hàng để tiện tay.</t>
  </si>
  <si>
    <t>Trung cấp =&gt; Cao cấp/ hàng thương hiệu quen thuộc.</t>
  </si>
  <si>
    <t xml:space="preserve">
- Signboard tại quầy kệ
- Display
- POSM: small one
- mock-up</t>
  </si>
  <si>
    <t>Sampling/ trial price/ Demo sp</t>
  </si>
  <si>
    <t>CASHBACK , YEAR CONTRACT., BUILD UP.</t>
  </si>
  <si>
    <t>Sell out program by period</t>
  </si>
  <si>
    <t>Frequency đều và duy trì , tùy vào bữa ăn và thực đơn đối tác. Volume mua từ trung bình =&gt; lớn. Đàm phán khá lâu</t>
  </si>
  <si>
    <t>Chủ yếu là hàng thực phẩm ăn sẵn có mức giá phù hợp với giá tiền bữa ăn của khách hàng đối tác đang phục vụ</t>
  </si>
  <si>
    <t>Phân cấp sản phẩm</t>
  </si>
  <si>
    <t>Sản phẩm phù hợp với mong muốn của đối tác</t>
  </si>
  <si>
    <t>BUILD GOOD PRICE</t>
  </si>
  <si>
    <t>VPO trung bình =&gt; cao/ tập trung đa dạng sản phẩm cùng ngành do đó việc chiếm lĩnh space share khá căng thẳng. Chuyên doanh có hàng chũ lực tập trung</t>
  </si>
  <si>
    <t>Chuyên biệt ngành và cạnh tranh khá khốc liễt</t>
  </si>
  <si>
    <t>Trải dài các phân khúc từ thấp đến cao</t>
  </si>
  <si>
    <t xml:space="preserve">
- Display
- POSM: small one
- Demo board or mock-up</t>
  </si>
  <si>
    <t>VPO thấp chủ yếu là độ phủ rộng, đơn hàng lắc nhắc nhưng có tác dụng làm hình ảnh và visibility sp tại thị trường</t>
  </si>
  <si>
    <t>Đa ngành hàng, nhiều nhãn, tần suất lâu lâu lấy hàng không thường xuyên</t>
  </si>
  <si>
    <t>Thấp =&gt; trung bình</t>
  </si>
  <si>
    <t>Thấp =&gt; trung bình với CA/HO. RE phân khúc trung bình cao</t>
  </si>
  <si>
    <t>Giá phù hợp/ chất lượng đáp ứng nhu cầu của khách hàng</t>
  </si>
  <si>
    <t>Phù hợp nhân cầu của khách hàng</t>
  </si>
  <si>
    <t>Trade strategy</t>
  </si>
  <si>
    <t>Sales strategy</t>
  </si>
  <si>
    <t>Brand Strategy</t>
  </si>
  <si>
    <t>Kênh GT</t>
  </si>
  <si>
    <t>ĐẶC ĐIỂM SHOP TRONG HỆ THỐNG MT</t>
  </si>
  <si>
    <t>HYPER MARKET</t>
  </si>
  <si>
    <t>SUPER MARKET</t>
  </si>
  <si>
    <t>MINIMARKET ( &gt;2 Store)</t>
  </si>
  <si>
    <t>CVS</t>
  </si>
  <si>
    <t>WHOLESALES (MEGA)</t>
  </si>
  <si>
    <t>CHAIN MINMARKET (&gt; 20 store)</t>
  </si>
  <si>
    <t>Mô hình All in One - one stop - one go mô hình đặc trưng walmart, &gt; 200.000 code Skus</t>
  </si>
  <si>
    <t xml:space="preserve">cửa hàng tự phục vụ tương đối lớn có mức chi phí thấp, tỷ suất lợi nhuận không cao và khối lượng hàng hóa bán ra lớn, đảm bảo thỏa mãn đầy đủ nhu cầu của người tiêu dùng về thực phẩm, bột giặt, các chất tẩy rửa và những mặt hàng chăm sóc nhà cửa"
 có diện tích từ 400m2 đến 2500m2 </t>
  </si>
  <si>
    <t>Chuỗi cửa hàng phục vụ thực phâm nước uống…. Các nhóm perosnal care, tập trung tại các khu bulding ( khu dân cư cao câp</t>
  </si>
  <si>
    <t xml:space="preserve">Chuỗi từ 30 - 60 m2 mặt bằng chủ yếu hàng personal care, bánh trái, thực phẩm khô, có quầy counter và phục vụ tại chỗ. Góc ngÃ TƯ LEN LỎI KHU DÂN CƯ TẠI CÁC TRỤC DƯỜNG CHÍNH VÀ PHỤ NỘI Ô </t>
  </si>
  <si>
    <t>LUXURY  GOODs STORE</t>
  </si>
  <si>
    <t>Quy mô diện tích 5000 - 10000 code hàng chủ yếu nhu yếu phẩm và hàng tươi sống, phục vụ bán kính 10km . Điển hình : BHX, SATRA, các dạng chuỗi chuyên thực phẩm như Homefram….</t>
  </si>
  <si>
    <t>Bán hàng xá, giá rẻ, chủ yếu bán sỉ các ngành hàng tương tự như Hyper nhưng không trưng bát bắt mắt như HYEPR và SUPER</t>
  </si>
  <si>
    <t>Locataion chung cư cao cấp hoặc khu dân cư cao cấp, phục vụ chủ yếu là hàng nhập khẩu và hàng high class. Diện tích 300 - 500 m2, trưng bày theo concept Europe. AN Nam, NAM AN market…</t>
  </si>
  <si>
    <t>Đa dạng ngành hàng, &gt; 200.000 code sp</t>
  </si>
  <si>
    <t>30.000 &gt; 50.000 code sp</t>
  </si>
  <si>
    <t>&gt; 20000 code sp</t>
  </si>
  <si>
    <t>10000 code sp</t>
  </si>
  <si>
    <t>5000 code</t>
  </si>
  <si>
    <t>40.000 code sp</t>
  </si>
  <si>
    <t>3000 code sp</t>
  </si>
  <si>
    <t>THấp =&gt; cao theo chiên lược của Hyper</t>
  </si>
  <si>
    <t xml:space="preserve">Chiến lược nhập hàng </t>
  </si>
  <si>
    <t>Nhanh, thực phẩm, lạ, chủ yếu là hàng ăn vặt ( nk)</t>
  </si>
  <si>
    <t>Hàng thiết yếu , quen thuộc nhãn hàng</t>
  </si>
  <si>
    <t>Thực phẩm, nước uống, personal care</t>
  </si>
  <si>
    <t>Đa dạng từ tp đông lạnh, đến tất cả các ngành thiếu yếu (FMCG, PERSONAL CARE)</t>
  </si>
  <si>
    <t>TP nhập khẩu, hàng chế biến cao cấp</t>
  </si>
  <si>
    <t>- Concept corner
- Shelf, counter , gondola
- Lightbox, Signboard
- Island display
- Narrowcast: LCD ads, Sound system
- POSM: standee, hanging banner, leaflet, brochure, shelftalker, product stand, wobbler, poster, tentcard, 
- Staff uniform, saleskit, salesperson notebook
- Demo board or mock-up</t>
  </si>
  <si>
    <t>- Concept corner
- Shelf, counter, gondola
- Lightbox, Signboard
- Island display
- Narrowcast: LCD ads, Sound system
- POSM: standee, hanging banner, leaflet, brochure, shelftalker, product stand, wobbler, poster, tentcard, 
- Staff uniform, saleskit, salesperson notebook
- Demo board or mock-up</t>
  </si>
  <si>
    <t xml:space="preserve">
- Lightbox, Signboard
- Narrowcast: LCD ads, Sound system
- POSM: standee, hanging banner, leaflet, brochure, shelftalker, product stand, wobbler, </t>
  </si>
  <si>
    <t xml:space="preserve">- Lightbox, Signboard
- Narrowcast: LCD ads, Sound system
- POSM: standee, hanging banner, leaflet, brochure, shelftalker, product stand, wobbler, </t>
  </si>
  <si>
    <t xml:space="preserve">- Lightbox, Signboard
- POSM:, leaflet, brochure, shelftalker, product stand, wobbler, </t>
  </si>
  <si>
    <t>Brand fair, cate fair, co-promotion</t>
  </si>
  <si>
    <t>co-promotion</t>
  </si>
  <si>
    <t xml:space="preserve">- Brand fair, cate fair, co-promotion
</t>
  </si>
  <si>
    <t>TOT</t>
  </si>
  <si>
    <t>VPO minimun / chủ yếu dùng để tăng bao phủ (% coverage)  ( 20%  route/  ngày ). Tăng AO</t>
  </si>
  <si>
    <t>VPO lớn tần suất gọi hàng theo thực dơn, giao theo lịch =&gt; sl lớn/ đơn, chủ yếu là giá để khớp với ngân sách của khách hàng</t>
  </si>
  <si>
    <t>Volume cao , tập trung hàng có tiếng, đi số lượng lớn giá tốt</t>
  </si>
  <si>
    <t>Nhóm doanh nghiệp cty xuất ăn công nghiệp, bếp trường học..</t>
  </si>
  <si>
    <t>Ch chuyên về sp đa dạng brand, tuy nhiên chỉ lựa chọn 2- 3 skus chủ lực</t>
  </si>
  <si>
    <t>các nhóm khách hàng khác, bán lẻ không nằm trong hệ thống kênh ghi nhận hoặc trong bảng chưa định vị nhóm kha1hc hàng nào</t>
  </si>
  <si>
    <t>- Nhận diện xe giao hàng</t>
  </si>
  <si>
    <t>- Quả tặng các dịp/ cashback</t>
  </si>
  <si>
    <t>- Visibilty in shelf/OOH in Outlet 
- POSM (Kệ)/activition
- KM theo sản lượng hoặc ký tích lũy</t>
  </si>
  <si>
    <t>- Promotion ( BOGOF)…</t>
  </si>
  <si>
    <t>- Visibilty in shelf/OOH in Outlet 
- POSM (Kệ)/activition sampilng
- KM theo sản lượng hoặc ký tích lũy</t>
  </si>
  <si>
    <t>Volume thấp =&gt; trung bình, vừa đủ bán với các nhóm tạp hóa trong ngõ, hẻm - nhóm tạp hóa trong hẻm, ngõ, volume cao- tại nhóm tạp hóa trọng điểm mặt tiền ( cần có sku của riêng họ/ chia line).</t>
  </si>
  <si>
    <t>- Visibilty in shelf/OOH in Outlet 
- POSM (Kệ)
- KM theo sản lượng hoặc ký tích lũy./ CASHBACK</t>
  </si>
  <si>
    <t>- Shopper image, dặc tính ( hành vi người mua)
 - End user/ audience ( hành vi người dùng)</t>
  </si>
  <si>
    <t>B2B</t>
  </si>
  <si>
    <t>B2B cty</t>
  </si>
  <si>
    <t>- Shopper image, dặc tính ( hành vi người mua)
 - End user/ audience ( hành vi người dùng).
 - ATL Campaign - brand act</t>
  </si>
  <si>
    <t>- Quan hệ chủ cửa hàng/ giá tốt
 - sampling mẫu</t>
  </si>
  <si>
    <t>STT</t>
  </si>
  <si>
    <t>Tên hệ thống</t>
  </si>
  <si>
    <t>Số lượng ST</t>
  </si>
  <si>
    <t>Số lượng HCM</t>
  </si>
  <si>
    <t>MTAY</t>
  </si>
  <si>
    <t>MDONG</t>
  </si>
  <si>
    <t>MTRUNG</t>
  </si>
  <si>
    <t>Miền Bắc</t>
  </si>
  <si>
    <t>COOP</t>
  </si>
  <si>
    <t>BIG</t>
  </si>
  <si>
    <t>VINMART</t>
  </si>
  <si>
    <t>LOTTE</t>
  </si>
  <si>
    <t>MEGA</t>
  </si>
  <si>
    <t>AEON</t>
  </si>
  <si>
    <t>SATRA</t>
  </si>
  <si>
    <t>EMART</t>
  </si>
  <si>
    <t>Vinmart +</t>
  </si>
  <si>
    <t>Bách hóa xanh</t>
  </si>
  <si>
    <t>Co.opfood</t>
  </si>
  <si>
    <t>Satra</t>
  </si>
  <si>
    <t>Circle K</t>
  </si>
  <si>
    <t>Family</t>
  </si>
  <si>
    <t xml:space="preserve">Ministop </t>
  </si>
  <si>
    <t>7eleven</t>
  </si>
  <si>
    <t>GS 25</t>
  </si>
  <si>
    <t>B'smart</t>
  </si>
  <si>
    <t>Vissan</t>
  </si>
  <si>
    <t>Nhà Sách</t>
  </si>
  <si>
    <t>Start mart</t>
  </si>
  <si>
    <t>Era mart</t>
  </si>
  <si>
    <t>Becamex</t>
  </si>
  <si>
    <t>Hòa Thọ</t>
  </si>
  <si>
    <t>SaiGon HD</t>
  </si>
  <si>
    <t>MY MARKET</t>
  </si>
  <si>
    <t>US MART</t>
  </si>
  <si>
    <t>SAN HÀ</t>
  </si>
  <si>
    <t>KOHNAN</t>
  </si>
  <si>
    <t>KINH FOOD</t>
  </si>
  <si>
    <t>ÂN NAM</t>
  </si>
  <si>
    <t>NAM AN</t>
  </si>
  <si>
    <t>K MARKET</t>
  </si>
  <si>
    <t>AN PHÚ</t>
  </si>
  <si>
    <t>J Mart</t>
  </si>
  <si>
    <t>Color Man food</t>
  </si>
  <si>
    <t>FARMER MARKET</t>
  </si>
  <si>
    <t>Chuỗi MINIMART - HIGHCLASS</t>
  </si>
  <si>
    <t>HYPER + SUPERMARKET</t>
  </si>
  <si>
    <t>Kênh MT</t>
  </si>
  <si>
    <t>MINIMART</t>
  </si>
  <si>
    <t>WHOLE SALES SỈ</t>
  </si>
  <si>
    <t>HYPER + SUPER</t>
  </si>
  <si>
    <t>CVS + CHAIN MINIMART</t>
  </si>
  <si>
    <t>WHOLE SALES</t>
  </si>
  <si>
    <t>SL</t>
  </si>
  <si>
    <t xml:space="preserve"> Lan Chi </t>
  </si>
  <si>
    <t xml:space="preserve"> Dabaco  </t>
  </si>
  <si>
    <t xml:space="preserve"> Intimex - BRG </t>
  </si>
  <si>
    <t xml:space="preserve"> Mường Thanh  </t>
  </si>
  <si>
    <t xml:space="preserve"> May 10 </t>
  </si>
  <si>
    <t xml:space="preserve"> Hiền Lương </t>
  </si>
  <si>
    <t xml:space="preserve"> Huy Hùng  </t>
  </si>
  <si>
    <t xml:space="preserve"> Đông Nam </t>
  </si>
  <si>
    <t xml:space="preserve"> HG </t>
  </si>
  <si>
    <t xml:space="preserve"> BP Mart </t>
  </si>
  <si>
    <t xml:space="preserve"> Bảo Phương </t>
  </si>
  <si>
    <t xml:space="preserve"> S mart </t>
  </si>
  <si>
    <t xml:space="preserve"> K mart  </t>
  </si>
  <si>
    <t>Tới Hoa</t>
  </si>
  <si>
    <t>BRIGHT INVESTMENTS</t>
  </si>
  <si>
    <t xml:space="preserve"> Lotus </t>
  </si>
  <si>
    <t>TOT BUYER / CATMAN</t>
  </si>
  <si>
    <t>- Concept corner
- Shelf, counter, gondola
- Lightbox, Signboard
- Island display
- Narrowcast: LCD ads, Sound system
- POSM: standee, hanging banner, leaflet, brochure, shelftalker, product stand, wobbler, poster, tentcard, 
- Staff uniform, saleskit, salesperson notebook
- Demo board or mock-
- Brand fair, cate fair, co-promotion
- Premium, contest, small events, etc.</t>
  </si>
  <si>
    <t>- Concept corner
- Shelf, counter, gondola
- Lightbox, Signboard
- Island display
- Narrowcast: LCD ads, Sound system
- POSM: standee, hanging banner, leaflet, brochure, shelftalker, product stand, wobbler, poster, tentcard, 
- Staff uniform, saleskit, salesperson notebook
- Demo board or mock-up
- Brand fair, cate fair, co-promotion
- Premium, contest, small events, etc.</t>
  </si>
  <si>
    <t>- Shelf, counter, gondola
- Lightbox, Signboard
- Island display
- Narrowcast: LCD ads, Sound system</t>
  </si>
  <si>
    <t>Price strategy/ POST / ONLINE PROMOTION</t>
  </si>
  <si>
    <t>- Shopper image, dặc tính ( hành vi người mua)
 - End user/ audience ( hành vi người dùng).
 - ATL Campaign - brand act/trade act</t>
  </si>
  <si>
    <t xml:space="preserve">
- Shelf, counter, gondola
- Narrowcast: LCD ads, Sound system
- POSM: standee, hanging banner, leaflet, brochure, shelftalker, product stand, wobbler, poster, tentcard, 
- Demo board or mock-up
- Brand fair, cate fair, co-promotion
- Premium, contest, small events, etc.</t>
  </si>
  <si>
    <t>Trade strategy (CUSTOMER)</t>
  </si>
  <si>
    <t>Brand Strategy (SHOPER)</t>
  </si>
  <si>
    <t>Nữ giới, tập trung vào nhóm có thu nhập, phân khúc tiêu dùng TB --&gt; cao</t>
  </si>
  <si>
    <t>Phân khúc</t>
  </si>
  <si>
    <t>Độ tuổi</t>
  </si>
  <si>
    <t>Nghề nghiệp</t>
  </si>
  <si>
    <t>Hành vi mua</t>
  </si>
  <si>
    <t xml:space="preserve">Kênh </t>
  </si>
  <si>
    <t>Nhu cầu</t>
  </si>
  <si>
    <t>Thế hệ Z</t>
  </si>
  <si>
    <t xml:space="preserve">10 - 25 </t>
  </si>
  <si>
    <t>Sinh viên - Vừa đi làm</t>
  </si>
  <si>
    <t>Mua SP ngon, tốt</t>
  </si>
  <si>
    <t>Ăn dặm, picnic, tâp luyện Gym</t>
  </si>
  <si>
    <t>Thế hệ Y</t>
  </si>
  <si>
    <t>27 - 39</t>
  </si>
  <si>
    <t>Văn phòng - Showbiz</t>
  </si>
  <si>
    <t>Mua SP thay đổi</t>
  </si>
  <si>
    <t>Ăn nửa buổi, teabreak giờ làm việc</t>
  </si>
  <si>
    <t>Thế hệ X</t>
  </si>
  <si>
    <t>40  -45</t>
  </si>
  <si>
    <t>Nội trợ, CBCNV</t>
  </si>
  <si>
    <t>GT, MT</t>
  </si>
  <si>
    <t>Mua cho cả nhà, cho thế hệ Gen Alpha (8t-12t)</t>
  </si>
  <si>
    <t>Nam giới  tập trung vào nhóm có thu nhập, phân khúc tiêu dùng TB cao</t>
  </si>
  <si>
    <t xml:space="preserve">Mua SP lạ </t>
  </si>
  <si>
    <t>Chân dung shopper &amp; Consumer &amp; Enduser</t>
  </si>
  <si>
    <t>Touch point</t>
  </si>
  <si>
    <t>CVs, MT, Online, tạp hóa gần nhà</t>
  </si>
  <si>
    <t>Mua SP ngon, tốt, nhận diện quen thuộc</t>
  </si>
  <si>
    <t>POSM, TV Ads, Promotion, điểm bán, kệ siêu thị</t>
  </si>
  <si>
    <t>Mua SP quen, chủ yếu phục vụ cho người trong gia đình/ trẻ em lựa chọn ít phụ thuốc</t>
  </si>
  <si>
    <t>Mua SP quen thuộc, giàu và phong phú hơn cho bữa ăn vặt của trẻ em tại gia dình</t>
  </si>
  <si>
    <t>Giá tiếp cận</t>
  </si>
  <si>
    <t>Giá phù hợp với lượng tiền còn / có trong túi nhất là nhóm trẻ từ 10 - 15 tuổi, độ tuổi từ 18 - 25 theo thu nhập chi nhưng không quá 15k/ skus offtake</t>
  </si>
  <si>
    <t>Mua theo thói quen / sở thích / hoàn cảnh. Mức giá cho buổi ăn xế dự chi 20k</t>
  </si>
  <si>
    <t>Mua theo nhu cầu sở thích của các thành viên trong gia đình, dự chi 1 pack lớn từ 30 - 40k dùng trong hộ khoảng 3 - 4 người áp dụng cho sp quen thuộc đã qua sử dung. Các sp mới chỉ mua từ hãng lớn - có sự đắn đo khi mua hàng dự trên chi tiêu gia đình</t>
  </si>
  <si>
    <t>Mua theo nhu cầu sở thích của các thành viên trong gia đình, dự chi 1 pack lớn từ 30 - 40k dùng trong hộ khoảng 3 - 4 người áp dụng cho sp quen thuộc đã qua sử dung. Các sp mới chỉ mua từ hãng lớn, ít quan tâm giá</t>
  </si>
  <si>
    <t>Mạng XH, Youtube, Tiktok, OOH, TV ads, Activition Brand, điểm bán, kệ siêu thị, hình ảnh trên line kệ đẹp bắt mắt liên quan đến hoạt hình, liên quan đến KOL</t>
  </si>
  <si>
    <t>Mạng XH, Youtube, Tiktok, OOH, TV ads, Activition Brand, điểm bán, kệ siêu thị. Tiếp cận nhanh internt brand campaing diigital liên quan đến các thói quen tiếp cận thông tin của nhóm tuổi</t>
  </si>
  <si>
    <t>PROBLEM</t>
  </si>
  <si>
    <t>Bằng chứng</t>
  </si>
  <si>
    <t>Các dòng bánh được biết đến chưa đa dạng, chủ yếu là dòng bánh tươi, ít đại lý, npp biết đến Bảo ngọc có bánh nhập khẩu</t>
  </si>
  <si>
    <t>Truyền thông và các hoạt động hỗ trợ bán hàng tại điểm bán chưa được triển khai đồng bộ và hiệu quả</t>
  </si>
  <si>
    <t>Nhận diện trong miền Nam với nhóm SP Bảo Ngọc còn thấp TOM ENDUSER chưa có</t>
  </si>
  <si>
    <t>Điểm bán bao phủ chưa cao trên thị trường kênh GT , MT</t>
  </si>
  <si>
    <t>Giải pháp góc độ MKT</t>
  </si>
  <si>
    <t>Bánh tươi là chủ lực (95% doanh thu) 5% bánh khô &amp; ODM.
Volume so với thị trường vẫn còn khá thấp. Thị phần chưa đạt 1% tổng ngành hàng</t>
  </si>
  <si>
    <t>Biết đến bảo ngọc , TOM hỏi bảo ngọc theo khảo sát (bổ sung…)</t>
  </si>
  <si>
    <t>Chỉ triển khai POSM theo yêu cầu của sales team chưa đồng bộ hóa theo chiến dịch chung của Brand - kkhay kệ , Visibility ko đến 700 điểm bán ( tỉ lệ 11.43%)</t>
  </si>
  <si>
    <t>tỉ lệ bao phủ MCP ( 18,45%)</t>
  </si>
  <si>
    <t>Các thông tin thị trường MIS còn thiếu</t>
  </si>
  <si>
    <t>chưa đồng bộ ,chia sẻ, chưa có S&amp;OP cũng do 1 phần nguyên nhân do dịch bệnh</t>
  </si>
  <si>
    <t>Chưa đồng bộ data điểm bán, các quy định chia sẻ báo cáo</t>
  </si>
  <si>
    <t>- Brand trên điểm bán ( shopper mkt) thay vì dùng chiến lược truyền thông thiên hướng Marcom.
 - Dùng nhận diện OOH ( hông tường) để quảng bá + xây dựng hình ảnh sp thương hiệu.
- DIGITAL là kênh truyền thông chính yếu.</t>
  </si>
  <si>
    <t>Phối kết hợp Sales &amp; MKT/ chưa có các hoạt động hỗ trợ và động viên đội ngũ</t>
  </si>
  <si>
    <t>- Brand các nhãn - triển khai CIP đồng nhất trưng bày layout tại POSM của Bảo Ngọc ( mượn khay).
'- Gia tăng nhận diện tại thông qua VMD của nhãn hàng ( KISSHU WAFFLES, FERETTI)</t>
  </si>
  <si>
    <t>Hỗ trợ các chính sách tung hàng mới cho NVKD triển khai thưởng chỉ tiêu mở mới , đơn hàng</t>
  </si>
  <si>
    <t>INCENTIVE , chính sách hàng trả lại với các key SKU để hỗ trợ nhân viên kinh doanh triển khai</t>
  </si>
  <si>
    <t>MIS thuê ngoài tiến hàng khảo sát / MIS nội bô/ Chốt các quy trình báo cáo của NVKD và from báo cáo</t>
  </si>
  <si>
    <t>Khung kế hoạch IMC và các chỉ tiêu mong muốn</t>
  </si>
  <si>
    <t>Công ty</t>
  </si>
  <si>
    <t>Sản phẩm</t>
  </si>
  <si>
    <t>Đối tượng mục tiêu</t>
  </si>
  <si>
    <t>Thị trường &amp; đối thủ</t>
  </si>
  <si>
    <t>- TOM Miền Nam :?</t>
  </si>
  <si>
    <t>- Mục tiêu doanh thu 4 tháng 105 tỉ</t>
  </si>
  <si>
    <t>- Phát triển phân chia lại vùng BH</t>
  </si>
  <si>
    <t>-Triển khai lại ngành bánh khô/ SW/ Waffles</t>
  </si>
  <si>
    <t>- Duy trì dòng bánh tươi truyền thống</t>
  </si>
  <si>
    <t>- Tung Sp : SWH 2 SKUs</t>
  </si>
  <si>
    <t>- Tung bánh Kisshu waffles: 3 Skus</t>
  </si>
  <si>
    <t>- Tái tung dòng bánh khô với chủ lực là Feretti</t>
  </si>
  <si>
    <t>- Customer các kênh bảo ngọc
 - Shopper/ Enduser thông qua các hoạt động ATL</t>
  </si>
  <si>
    <t>áp dụng theo chân dung người tiêu dùng cuối</t>
  </si>
  <si>
    <t>Bánh tươi truyền thống với nhóm đối thủ Kinh Đô, Doree, Phạm Nguyên, Hữu Nghị, Cao Lợi Hưng</t>
  </si>
  <si>
    <t>Wafles: Karo (RICHY), Belgi ( Tràng An), FASTY</t>
  </si>
  <si>
    <t>Bánh thiết : MONDE</t>
  </si>
  <si>
    <t>Phân tích tình huống</t>
  </si>
  <si>
    <t>Mục tiêu truyền thông</t>
  </si>
  <si>
    <t>Nhận biết</t>
  </si>
  <si>
    <t>Nhận thức</t>
  </si>
  <si>
    <t>Trung thành &amp; Share</t>
  </si>
  <si>
    <t>Cost/ ots</t>
  </si>
  <si>
    <t>Budget</t>
  </si>
  <si>
    <t>OTS</t>
  </si>
  <si>
    <t>Total tar</t>
  </si>
  <si>
    <t>TB cost giá tươi</t>
  </si>
  <si>
    <t>Bánh tươi</t>
  </si>
  <si>
    <t>Hàng mới Wa</t>
  </si>
  <si>
    <t>Bánh Sw mới</t>
  </si>
  <si>
    <t>volume SKU</t>
  </si>
  <si>
    <t xml:space="preserve">- OTS cần 250.000.000
 - Tỉ lệ chuyển đổi trung bình 5%
- Tìm kiếm thông tin 20%: 40.000.000
-  CRT = 12.500.000
</t>
  </si>
  <si>
    <t>Bánh tươi: 7.235.644
Bánh Sw mới: 1.435.409
Bánh Fer: 316.000
Bánh khô còn lại: 495.766</t>
  </si>
  <si>
    <t>10% Nhận biết TOM bảo ngọc/ 5% WAFFER./ 5% cho KISSHU WAFFLES</t>
  </si>
  <si>
    <t>Doanh số/ SL</t>
  </si>
  <si>
    <t xml:space="preserve">- NPS (net promoter score) 20% ( sử dụng câu hỏi  bạn có vui lòng giới thiệu người khác dùng sp này không) (
% đồng ý - % không đồng ý = % NPS)
</t>
  </si>
  <si>
    <t>Định hướng chiến lược truyền thông</t>
  </si>
  <si>
    <t>Mức độ ảnh hưởng &amp; thời đoạn truyền thông</t>
  </si>
  <si>
    <t>Định hướng sáng tạo</t>
  </si>
  <si>
    <t>Định hướng tích hợp</t>
  </si>
  <si>
    <t>Ngân sách dự kiến</t>
  </si>
  <si>
    <t>-Tung hàng/ Festive tết là giai đoạn quan trọng. Cần truyền thông đùng trọng điểm - tận dung tung hàng Kisshu , Feretti
- Thời gian chiến dịch tập trung từ tháng 9 - 12</t>
  </si>
  <si>
    <t xml:space="preserve">- Agency cho ý kiến </t>
  </si>
  <si>
    <t>- Tập trung chạy mạnh bánh khô Feretti/ Monde ( tung hàng Wafer Feretiti), Monde triển khai bán tết
'- Truyền thông mạnh 11,12,10
- Trade mkt là chủ đạo</t>
  </si>
  <si>
    <t>Bánh khô: NABATI</t>
  </si>
  <si>
    <t>Mô tả tích hợp</t>
  </si>
  <si>
    <t>1. Tổng NS: 6.6 tỉ
2. Phân bổ: Trade 60%, Brand 30%, PR(10%)</t>
  </si>
  <si>
    <t>PR</t>
  </si>
  <si>
    <t>MARCOM</t>
  </si>
  <si>
    <t>TRADE</t>
  </si>
  <si>
    <t>SALES</t>
  </si>
  <si>
    <t>PRODUCT</t>
  </si>
  <si>
    <t>MAROCM</t>
  </si>
  <si>
    <t>Hoạt động riêng của PR</t>
  </si>
  <si>
    <t>Tích hợp PR &amp; MARCOM</t>
  </si>
  <si>
    <t>Tích Hợp Sales &amp; PR</t>
  </si>
  <si>
    <t>TÍch hợp Trade &amp; PR</t>
  </si>
  <si>
    <t xml:space="preserve"> tích hợpPr &amp; Product</t>
  </si>
  <si>
    <t>Hoạt động riêng của Marcom</t>
  </si>
  <si>
    <t>Tích hợp Marcom &amp; Trade</t>
  </si>
  <si>
    <t>Tích hợp Product &amp;Marcom</t>
  </si>
  <si>
    <t>Hoạt động riêng của Trade</t>
  </si>
  <si>
    <t>TÍch hợp Sales &amp; Marcom</t>
  </si>
  <si>
    <t>Tích Hợp Sales &amp; Trade</t>
  </si>
  <si>
    <t>tích hợp Product &amp; Trade</t>
  </si>
  <si>
    <t>Hoạt động riêng của Roduct</t>
  </si>
  <si>
    <t>Hoạt động riêng của Sales</t>
  </si>
  <si>
    <t>TÍch hợp hoạt động sales &amp; product</t>
  </si>
  <si>
    <t>Ma trận tích hợp ý tưởng của chiến dịch</t>
  </si>
  <si>
    <t>Hoạt động tích hợp ( khi hoàn thiện ý tưởng)</t>
  </si>
  <si>
    <t>Gold Project</t>
  </si>
  <si>
    <t>Silver Project</t>
  </si>
  <si>
    <t>Bronze Project</t>
  </si>
  <si>
    <t>Trình cho:</t>
  </si>
  <si>
    <t xml:space="preserve">Chủ Tịch HĐ Quản Trị
Tổng Giám Đốc </t>
  </si>
  <si>
    <t>Purpose</t>
  </si>
  <si>
    <t>Campaign:</t>
  </si>
  <si>
    <t>Strategy:</t>
  </si>
  <si>
    <t>Month/Year</t>
  </si>
  <si>
    <t>The first day of the week</t>
  </si>
  <si>
    <t>Activities</t>
  </si>
  <si>
    <t>Chi tiết</t>
  </si>
  <si>
    <t>Phương thức và định hướng thực hiện</t>
  </si>
  <si>
    <t>Responsibility</t>
  </si>
  <si>
    <t>KPIs</t>
  </si>
  <si>
    <t>Week/Year</t>
  </si>
  <si>
    <t>Chi phí dự kiến thực hiện</t>
  </si>
  <si>
    <t>Chiến dịch trọng điểm</t>
  </si>
  <si>
    <t>ATL</t>
  </si>
  <si>
    <t>OOH</t>
  </si>
  <si>
    <t>Sử dụng KV , KM theo chiến dịch</t>
  </si>
  <si>
    <t>100 xe, 2.000 km/xe</t>
  </si>
  <si>
    <t>Radio</t>
  </si>
  <si>
    <t>Phát VO 60''</t>
  </si>
  <si>
    <t>Loa tuyến huyện 30 ngày</t>
  </si>
  <si>
    <t>11 triệu OTL</t>
  </si>
  <si>
    <t xml:space="preserve"> </t>
  </si>
  <si>
    <t>tháng 9</t>
  </si>
  <si>
    <t>tháng 10</t>
  </si>
  <si>
    <t>Tháng 11</t>
  </si>
  <si>
    <t>Tháng 12</t>
  </si>
  <si>
    <t>MARKETING PLAN</t>
  </si>
  <si>
    <t>DT 2021 (  8- 12)</t>
  </si>
  <si>
    <t>Chi phí mkt</t>
  </si>
  <si>
    <t>Q4.2021</t>
  </si>
  <si>
    <t>Tung ngành hàng mới</t>
  </si>
  <si>
    <t>Hỗ trợ invlolve ngành hàng cũ</t>
  </si>
  <si>
    <t>tung hàng Kishhu/ tái tung Feretti, triển khai concept thiết kế và idea tết</t>
  </si>
  <si>
    <t>Tung chiến dịch tết ON/OFF CAMPAIGN</t>
  </si>
  <si>
    <t>Ý tưởng thương hiệu:
Agency brandstorm/ tích hợp trong plan, brainstorm cùng team cho launching Kisshu/ Ferretti ( launchu + tết)</t>
  </si>
  <si>
    <t>DIGITAL</t>
  </si>
  <si>
    <t>Digital mkt plan cho 2 nhóm sp ( 3,5 tháng) - OTS 10.000.0000</t>
  </si>
  <si>
    <t>CAMPAIGN LAUNCHING</t>
  </si>
  <si>
    <t>Xe oto công ty Bắc Trung Nam - chạy giao hàng các tuyến ( xe con. Xe tải)- nếu hết giãn cách, thuê xe o6to của NPP nếu có - trả phí ( 50 xe) - 3.5 tháng trả phía( - số xe của cty đã có)</t>
  </si>
  <si>
    <t>BTL</t>
  </si>
  <si>
    <t>TVC</t>
  </si>
  <si>
    <t>FESTIVE CONCEP/LAUNCH</t>
  </si>
  <si>
    <t>Nông thôn vây thành thị/ chạy tài trợ các chương trình ca nhạc đài tỉnh  để vộ ngược về thành thĩ ( VTC, SCTV, FPT ..)</t>
  </si>
  <si>
    <t>booking plan tvc</t>
  </si>
  <si>
    <t>POSM</t>
  </si>
  <si>
    <t>Waffle Kisshu</t>
  </si>
  <si>
    <t>Feretti</t>
  </si>
  <si>
    <t>Hanagr treo số lượng 15.000 sku</t>
  </si>
  <si>
    <t>Mockup treo hình sp/ sign board treo Gt 15.000 skus</t>
  </si>
  <si>
    <t>SALES ENGAGE</t>
  </si>
  <si>
    <t>Waffle Kisshu - ràng limit 40 thùng tính thưởng</t>
  </si>
  <si>
    <t>FERETTI - ràng limit 40 thùng tính thưởng</t>
  </si>
  <si>
    <t>20  tặng 1 ( hàng)</t>
  </si>
  <si>
    <t>Promotion hỗ trợ tươi</t>
  </si>
  <si>
    <t>SWH mới</t>
  </si>
  <si>
    <t>SWH cũ</t>
  </si>
  <si>
    <t>Chi phí dự phòng</t>
  </si>
  <si>
    <t>Pilot sampling kv</t>
  </si>
  <si>
    <t xml:space="preserve">E pr về dòng hàng
Kisshu Waffles/ Bánh khô
Chạy đưa tin E- Pr dạng quảng cáo có từ khóa </t>
  </si>
  <si>
    <t>- Marcom phát tán link sp 
 - Product cung cấp cho PR các thông tin để viết bài cảm nhận điểm bán
- Cung cấp TTSP và có kế hoạch training sp</t>
  </si>
  <si>
    <t>Nhận thông tin về booklet sp.v
Customize khu vực về truyền thông cho Local mkt khu vực</t>
  </si>
  <si>
    <t>- OOH: xe banner (100)
 - INCENTIVE
- PROMOTION
- POSM trưng bày</t>
  </si>
  <si>
    <t xml:space="preserve">- Landing page tích hợp của nhãn hàng.,Seo ,Sem ,Social 
Viral, Banner,GDN.
- TVC ( dịp tết)
</t>
  </si>
  <si>
    <t>- KPI về bao phù
- VPO, DROP
-  PILOT khu vực, đo lượng OFF TAKE</t>
  </si>
  <si>
    <t>- SALES PRESENTATION
- Quy cách bao bì , đo lường OFFTAKE để điều chỉnh</t>
  </si>
  <si>
    <t>- Tích họp 1 game mini tăng tương tác tặng quà để kích thích tham gai
'- Kích hoạt nhãn hàng Brand activition</t>
  </si>
  <si>
    <t xml:space="preserve">- Phát hành thông tin sản phẩm trên nền tảng ZALO/FACEBOOK để triển khai
</t>
  </si>
  <si>
    <t xml:space="preserve">- Phối hợp triển khai POSM trên điểm bán.
 - Triying price xâm nhập 
</t>
  </si>
  <si>
    <t xml:space="preserve">Xây dựng các clip viral/ video / content cần nội dung cho MARCOM triển khai, cần phối hợp.
</t>
  </si>
  <si>
    <t>"- Dự kiến PILOT KV
 - USP sản phẩm/ benchmark competitor</t>
  </si>
  <si>
    <t>- PR strategy triển khai PR trc QC định hướng.
- QC kèm PR về đề tài có liên quan đến sp</t>
  </si>
  <si>
    <t>NO</t>
  </si>
  <si>
    <t>KÊNH TRUYỀN THÔNG</t>
  </si>
  <si>
    <t>ĐVT</t>
  </si>
  <si>
    <t>ATTENTION</t>
  </si>
  <si>
    <t>%</t>
  </si>
  <si>
    <t>Số lượng</t>
  </si>
  <si>
    <t>INTERESTING</t>
  </si>
  <si>
    <t>DESIRE</t>
  </si>
  <si>
    <t>SEARCH</t>
  </si>
  <si>
    <t>ACTION</t>
  </si>
  <si>
    <t>VISIBILITY PLAN</t>
  </si>
  <si>
    <t>ACTIVITON PLAN</t>
  </si>
  <si>
    <t>PROMOTION PLAN</t>
  </si>
  <si>
    <t>SALES ENGAGEMENT</t>
  </si>
  <si>
    <t>MARCOM PLAN</t>
  </si>
  <si>
    <t>15000 điểm bán</t>
  </si>
  <si>
    <t>View (OTS)/ vs/ CH/day = 20 x 90 day</t>
  </si>
  <si>
    <t>View (OTS)/ vs/ CH/day = 20 x90 day</t>
  </si>
  <si>
    <t>KISSHU</t>
  </si>
  <si>
    <t>20 tặng 1</t>
  </si>
  <si>
    <t>Ctr = 100 cửa hàng x vs: 500 khách</t>
  </si>
  <si>
    <t>Xe oto công ty Bắc Trung Nam - chạy giao hàng các tuyến ( xe con. Xe tải)- nếu hết giãn cách, thuê xe oto của NPP nếu có - trả phí ( 50 xe) - 3.5 tháng trả phía( - số xe của cty đã có)</t>
  </si>
  <si>
    <t>15000 điểm x 8 lần viếng thăm x 3,5 tháng</t>
  </si>
  <si>
    <t>15001 điểm x 8 lần viếng thăm x 3,5 tháng</t>
  </si>
  <si>
    <t>15002 điểm x 8 lần viếng thăm x 3,5 tháng</t>
  </si>
  <si>
    <t>15003 điểm x 8 lần viếng thăm x 3,5 tháng</t>
  </si>
  <si>
    <t>MKT budget</t>
  </si>
  <si>
    <t>Chi phí Thương hiệu</t>
  </si>
  <si>
    <t>Promotion hỗ trợ tươi/ khô</t>
  </si>
  <si>
    <t>SP CL</t>
  </si>
  <si>
    <t>SP TT</t>
  </si>
  <si>
    <t>SL CL</t>
  </si>
  <si>
    <t>%BUDGET</t>
  </si>
  <si>
    <t>SP TT ( CHALOT,QUỀ, MONDE)</t>
  </si>
  <si>
    <t>chưa tung hàng chưa đánh giá</t>
  </si>
  <si>
    <t>Định phí</t>
  </si>
  <si>
    <t>Biến phí</t>
  </si>
  <si>
    <t>Chi phí sx TVC</t>
  </si>
  <si>
    <t>Chi phí booking</t>
  </si>
  <si>
    <t>Chi phí trả thuê xe</t>
  </si>
  <si>
    <t>Chi phí dán decal</t>
  </si>
  <si>
    <t>60 xe, 2.000 km/xe</t>
  </si>
  <si>
    <t>Chi phí trả trưng bày</t>
  </si>
  <si>
    <t>1 pack 6</t>
  </si>
  <si>
    <t>Average Price</t>
  </si>
  <si>
    <t>AV price</t>
  </si>
  <si>
    <t>Banh Wafles</t>
  </si>
  <si>
    <t>Baánh SWH</t>
  </si>
  <si>
    <t>AVERAGE PRICE</t>
  </si>
  <si>
    <t>Break even point MKT</t>
  </si>
  <si>
    <t>Chi phí thương hiệu - dự phòng</t>
  </si>
  <si>
    <t>có thể hỗ trợ HTL</t>
  </si>
  <si>
    <t>COST MK chi 1 để có 1 cơ hội bán hàng</t>
  </si>
  <si>
    <t>OTS (opportunities to see): Cho biết số lượng tiếp xúc trung bình của mỗi khán giả mục tiêu với các spot trong chiến dịch quảng cáo.</t>
  </si>
  <si>
    <t xml:space="preserve">Định phí mkt </t>
  </si>
  <si>
    <t>Break even</t>
  </si>
  <si>
    <t>DS KH 2021 (8 -12)</t>
  </si>
  <si>
    <t>Nông thôn vây thành thị/ chạy tài trợ các chương trình ca nhạc đài tỉnh  để vỗ ngược về thành thị ( VTC, SCTV, FPT ..)</t>
  </si>
  <si>
    <r>
      <rPr>
        <b/>
        <u/>
        <sz val="11"/>
        <rFont val="Arial Narrow"/>
        <family val="2"/>
      </rPr>
      <t>Department</t>
    </r>
    <r>
      <rPr>
        <b/>
        <sz val="11"/>
        <rFont val="Arial Narrow"/>
        <family val="2"/>
      </rPr>
      <t>:</t>
    </r>
    <r>
      <rPr>
        <sz val="11"/>
        <rFont val="Arial Narrow"/>
        <family val="2"/>
      </rPr>
      <t xml:space="preserve"> Marketing</t>
    </r>
  </si>
  <si>
    <r>
      <t>Kinh Doanh: 39.679.913.000
Truyền thông:</t>
    </r>
    <r>
      <rPr>
        <sz val="11"/>
        <rFont val="Arial Narrow"/>
        <family val="2"/>
      </rPr>
      <t xml:space="preserve"> Launching Kisshu /Feretti digital mkt
</t>
    </r>
    <r>
      <rPr>
        <b/>
        <u/>
        <sz val="11"/>
        <rFont val="Arial Narrow"/>
        <family val="2"/>
      </rPr>
      <t>Trade: tung hàng trên kênh GT bánh Kisshu / SWH mới/  Feretti ( star 15.9) ( visibiilty) - promotion program 
SP tập trung: 3 Skus Kisshu Waffles/ feretti
PR:</t>
    </r>
    <r>
      <rPr>
        <sz val="11"/>
        <rFont val="Arial Narrow"/>
        <family val="2"/>
      </rPr>
      <t xml:space="preserve"> E-PR các sp phẩm mới</t>
    </r>
  </si>
  <si>
    <r>
      <rPr>
        <b/>
        <u/>
        <sz val="11"/>
        <rFont val="Arial Narrow"/>
        <family val="2"/>
      </rPr>
      <t>Kinh Doanh 22.354.553.760
Trade</t>
    </r>
    <r>
      <rPr>
        <sz val="11"/>
        <rFont val="Arial Narrow"/>
        <family val="2"/>
      </rPr>
      <t xml:space="preserve">:INCENTIVE AO/ thùng
</t>
    </r>
    <r>
      <rPr>
        <b/>
        <u/>
        <sz val="11"/>
        <rFont val="Arial Narrow"/>
        <family val="2"/>
      </rPr>
      <t>Truyền thông</t>
    </r>
    <r>
      <rPr>
        <b/>
        <sz val="11"/>
        <rFont val="Arial Narrow"/>
        <family val="2"/>
      </rPr>
      <t>:15/11 truyền thông dần cho chiến dịch hàng tết - concept tết</t>
    </r>
    <r>
      <rPr>
        <sz val="11"/>
        <rFont val="Arial Narrow"/>
        <family val="2"/>
      </rPr>
      <t xml:space="preserve">
</t>
    </r>
    <r>
      <rPr>
        <b/>
        <u/>
        <sz val="11"/>
        <rFont val="Arial Narrow"/>
        <family val="2"/>
      </rPr>
      <t>SP tập trung</t>
    </r>
    <r>
      <rPr>
        <sz val="11"/>
        <rFont val="Arial Narrow"/>
        <family val="2"/>
      </rPr>
      <t>:all sp đang kinh doanh tập trung Kisshu, Bánh khô mùa tết, team bánh tươi duy trì các sp SW và kisshu cũ</t>
    </r>
  </si>
  <si>
    <r>
      <rPr>
        <b/>
        <u/>
        <sz val="11"/>
        <rFont val="Arial Narrow"/>
        <family val="2"/>
      </rPr>
      <t>Kinh Doanh 34.741.000.000
Trade</t>
    </r>
    <r>
      <rPr>
        <sz val="11"/>
        <rFont val="Arial Narrow"/>
        <family val="2"/>
      </rPr>
      <t xml:space="preserve">:
</t>
    </r>
    <r>
      <rPr>
        <b/>
        <u/>
        <sz val="11"/>
        <rFont val="Arial Narrow"/>
        <family val="2"/>
      </rPr>
      <t>Truyền thông</t>
    </r>
    <r>
      <rPr>
        <sz val="11"/>
        <rFont val="Arial Narrow"/>
        <family val="2"/>
      </rPr>
      <t xml:space="preserve">: FESTIVE CAMPAIGN
</t>
    </r>
    <r>
      <rPr>
        <b/>
        <u/>
        <sz val="11"/>
        <rFont val="Arial Narrow"/>
        <family val="2"/>
      </rPr>
      <t>SP tập trung</t>
    </r>
    <r>
      <rPr>
        <sz val="11"/>
        <rFont val="Arial Narrow"/>
        <family val="2"/>
      </rPr>
      <t>: iRO 2.0</t>
    </r>
  </si>
  <si>
    <r>
      <rPr>
        <b/>
        <u/>
        <sz val="11"/>
        <rFont val="Arial Narrow"/>
        <family val="2"/>
      </rPr>
      <t>Target Audience:</t>
    </r>
    <r>
      <rPr>
        <b/>
        <sz val="11"/>
        <rFont val="Arial Narrow"/>
        <family val="2"/>
      </rPr>
      <t xml:space="preserve"> </t>
    </r>
    <r>
      <rPr>
        <sz val="11"/>
        <rFont val="Arial Narrow"/>
        <family val="2"/>
      </rPr>
      <t xml:space="preserve">
 Group 1: 25 - 35
 Group 2: 36 - 45  </t>
    </r>
  </si>
  <si>
    <t>Xe oto công ty Bắc Trung Nam - chạy giao hàng các tuyến ( xe con. Xe tải)- nếu hết giãn cách, thuê xe oto của NPP nếu có - trả phí ( 50 xe) - 3.5 tháng trả phía ( - số xe của cty đã có)</t>
  </si>
  <si>
    <t>COST MKT/ OTS</t>
  </si>
  <si>
    <t>WHY</t>
  </si>
  <si>
    <t>WHAT</t>
  </si>
  <si>
    <t>WHERE</t>
  </si>
  <si>
    <t>WHEN</t>
  </si>
  <si>
    <t>WHO</t>
  </si>
  <si>
    <t>HOW</t>
  </si>
  <si>
    <t xml:space="preserve">Important campaign trong Q4.2021:
- Chiến dịch tung hàng Waffles Kisshu =&gt; sản phẩm mới của BN
gia tăng hình ảnh nhận diện thương hiệu BN tại các kênh media.
- Chuẩn bị SWH =&gt; dày thêm SKU đang có trên thị trường, gia tăng hàng chặn trên thị trường và đánh vào phân khúc còn trống.
- FESTIVE CAMPAIGN đã có dự kiến thay đổi KV cho các dòng bánh này tuy nhiên chưa có chi phí build brand của Bảo Ngọc.
</t>
  </si>
  <si>
    <t>Các hoạt động chính yếu với Digital mkt Plan:
- Xây dựng landing page ( Waffles/Swh/Festive campaign theo concept tết)
- Quản trị FACBOOK &amp; CONTENT của các nhãn hàng và ngành hàng mới.
- GDN truyền thông sản phẩm có sử dụng Re - marketing.
- Mini Game nhãn hàng Waffles
- Xây dựng Viral clip/ i tvc cho dịp tết</t>
  </si>
  <si>
    <t xml:space="preserve">Nền tảng triển khai:
- Landing page của nhãn hàng (SWH/WAFFLES).
- Landing page của mùa vụ tết.
- Facebook các 2 ngành mới ( SWH/WAFFLES).
- Forum seeding các group dành cho bà mẹ/ trẻ em/phụ nữ...
- GDN ( hiển thị hình ảnh tại các trang web theo danh sách của đối tác và phù hợp với sản phẩm mục tiêu.
- E-PR sản phẩm Waffles tại các trang đưa tin.
- Nội dung:
  SP Waffles: sản phẩm, các usp và ứng dụng khi ăn.
  Mùa vụ tết: cần idea concept và kv nội dung
  </t>
  </si>
  <si>
    <t xml:space="preserve">Thời gian triển khai theo kế hoạch:
- Landing page sp tháng 9 ( cần phê duyệt trước để chạy vì 15.9 sẽ tung hàng)
- Landing page mùa vụ tết ( cần họp concept - triển khai trung tuần tháng 10 ( 15.10).
- FACEBOOK BN ( dùng Branding) , Xây dựng 2 content page của Kisshu/ SWH.
- FORUM/FACEBOOK GROUP SEEDING ( CONCUNG,WEBTRETHO..) chạy trong vòng 10,11,12)
- GDN (VNEXPRESS, 24H....) - thay concept Tết và cuối tháng 10 và chạy xuyên suốt 11,12,1,2 ( gia hạn ứng ngân sách của năm 2022
- </t>
  </si>
  <si>
    <t>Nhóm đối tượng tiếp cận truyền thông
Ngành hàng Waffles: 
- Nhóm trẻ em: theo định hướng từ 8 - 12 tuổi theo định vị khách hàng của BRAND.
- Nhóm khách hàng nữ: từ 27 - 35 có gia đình/ độc thân.. Nvpp tại các key city.
Festive campaign:
- Gia đình/ sum họp/ đoàn viên ngày Tết.
- Tác động all nhóm khách hàng.
- Độ phổ rộng cho nhóm tuổi tiếp cận từ NAM/NỮ, từ 20 - 45 tuổi đã có gia đình.</t>
  </si>
  <si>
    <t xml:space="preserve">
Total OTS KPI: 31.000.000
Tỉ lệ chuyển đổi (CRT%): 1.789.000
TỈ lệ hành động: 300.000
Total Budget: 800.000.000
Bao gồm chi phí phát triển ý tưởng mùa TẾT FESTIVE CAMPAIGN.</t>
  </si>
  <si>
    <t>Media digiral mkt plan
- Lauching Waffles Kisshu
- Launching Swh
- Launching Festive campaign ( ý tưởng và 1 phần triển khai, cần bổ sung ngân sách mùa tế)</t>
  </si>
  <si>
    <t>BOOKING TVC PLAN ( KISSHU WAFFLES/ FESTIVE ( cần add thêm ngân sách như trao đổi cùng chủ tịch)</t>
  </si>
  <si>
    <t xml:space="preserve">
Cần gia tăng nhận diện nhãn hàng tới END USER cho chiến dịch mùa tết và lợi dụng truyền thông cho mảng bánh khô và các sp mới của BẢO NGỌC.
TI lệ Budget booking
- ( 20% cho SP mới) / 
- 80% (BUDGET ý tưởng và Kv Tết)- Cần ADD thêm BUDGET vì cần độ dày truyền thông mùa tết)
</t>
  </si>
  <si>
    <t>- Xậy dựng TVC ( ý tưởng / sx cho 2 Sp : Waffles Kisshu/Festive campaign)
 - Booking media plan đo lường GPR% của từng kênh căn cứ theo báo cáo của agency cung cấp/ tính theo OTS, RATING%, GPR% ( các chỉ số do KANTAR cung cấp cho từng kênh truyền thông).</t>
  </si>
  <si>
    <t>Triển khai booking tập trung tại key city/key market khu vực miền Nam :
 - Kisshu Waffles: Đà Nẵng/Cần Thơ/HCM/ Đồng Nai/ VĨnh Long.
- Festive campaign: all toàn miền Nam , tập trung HCM, Đồng Nai, Cần Thơ , Vĩnh Long. Đả Nẵng… áp dụng Booking các kênh truyền hình cáp ( SCTV, VTVCAB..)</t>
  </si>
  <si>
    <t>Sản xuất triển TVC:
 - TVC KISSHI =&gt; Tháng 8,9.2021
 - TVC CONCEPT FESTIVE 10.2021
Media Plan:
 - Media Plan Tvc: 2 tuần đầu tung hàng, 3 tuần nhắc nhớ rải đều các tháng
- FESTIVE CAMPAIGN:  cần bổ sung ngân sách/ 2 tỉ để chạy chiến dịch tết - không tính vào ngân sách tháng 11,12</t>
  </si>
  <si>
    <t>OOH - Nhận diện thương hiệu bằng xe cá nhân/ xe vận tải của oto</t>
  </si>
  <si>
    <t xml:space="preserve">Triển khai dán decal 2 bên hông xe:
- Tổng hợp xe auto của cty ( huy động xe cá nhân của nhân viên)
- Thuê xe của NPP tại các địa bàn.
- Total dự kiến 50 xe triển khai miền Nam vào thời điểm tung hàng 15.9 - 30.10.
- Từ 11,12,1 triển khai thay đổi KV mùa tết (50 xe).
Xe di chuyển sẽ tăng nhận diện sp và chiến dịch tết cho người tiêu dùng
</t>
  </si>
  <si>
    <t>Triển khai thiết kế KV tung nhãn hàng cho các loại xe tải lớn, tải nhỏ,bán tải , 4 bánh.
- Thi công xe - xác định ngày giờ triển khai (1tr) tiền in ấn.
- Trả chi phí (1tr/ tháng) cần kiểm soát lại chi phí khi đệ trình cụ thể.
- 50 xe ( 4tr5 tiền trả thưởng) 1tr5 ( tiền thi công)</t>
  </si>
  <si>
    <t xml:space="preserve">Tháng 9. đến 20.10 sử dụng KV nhãn hàng.
Từ ngày 21.10 sẽ triển khai KV tết.
Chi phí trả thưởng: ngày 5 hằng tháng.
</t>
  </si>
  <si>
    <t>Total OTS tiếp cận: 100.000.000
Total Action: 1.350.000
Total TOM nhãn hàng 5% khách hàng nhận diện được.
Total BUGET: 375.000.000 vnđ</t>
  </si>
  <si>
    <t>Total OTS tiếp cận: 30.000.000
Total Action: 1.350.000
Total TOM nhãn hàng 5% khách hàng nhận diện được.
Total BUGET: 1.000.000.000 vnđ</t>
  </si>
  <si>
    <t>VOV giao thông / VOV phát thanh tại tuyến huyện lỵ</t>
  </si>
  <si>
    <t>Triển khai thu voice MC script :
- Voice script: nhãn hàng Kisshu
- Voice script Festive mùa tết
- Booking media plan theo lựa chọn: 
- 60% từ anh em kinh doanh dựa trên vùng và mục tiêu KD muốn triển khai
- 40% MKT lựa chọn theo quy mô dân số.</t>
  </si>
  <si>
    <t>Khu vực miền Nam all các vùng 1,2,3
- hcm XE CÔNG TY / Xe đối tác( thống kê không trả phí)
- Xe NPP/ Xe cá nhân / các agency đủ số lượng xe ( 50)</t>
  </si>
  <si>
    <t>Hệ thống loa tại huyện/ xã trong khu vực toàn miền Nam.
- Miền Đông : 40%
- Miền Tây: 30%
-  Cao Nguyên: 30%</t>
  </si>
  <si>
    <t>Triển khai loa phát thanh đi sát và nhắc nhớ khách hàng về thương hiệu Bảo Ngọc &amp; Sp mới của công ty.
- Total chạy 265 huyện tại khu vực Miền Nam.
- Total tiếp cận: 22.928.000 ( dân số các huyện không bao gồm dân số tại các tp chính của tỉnh)</t>
  </si>
  <si>
    <t xml:space="preserve">Tháng 9. đến 20.10 sử dụng voice nhãn hàng.
Từ ngày 21.10 sẽ triển khai voice tết.
Chi phí trả thưởng: ngày 5 hằng tháng.
</t>
  </si>
  <si>
    <t>Total OTS tiếp cận: 22.928.000
Total Action: 866.000
Total TOM nhãn hàng 5% khách hàng nhận diện được. Cưỡng bức nghe 
Total BUGET: 200.000.000 vnđ</t>
  </si>
  <si>
    <t>Visibility ( trưng bày nhận diện sản phẩm tại điểm bán)</t>
  </si>
  <si>
    <t>Trang bị POSM tại điểm bán :
- gia tăng nhận diện tại 15.000 điểm bán Kisshu Waffles
- gia tăng nhận diện tại 15.000 điểm bán có bán khô ( Ferretti).
- Hỗ trợ triển khai trả thưởng trưng bày sẽ bàn trả SP 2 pack Feretti , 2 pack Kisshu ( gói 6 cái) =&gt; chi phí sẽ trích trong khoảng dư ngân sách 450.000.000 trích trong bảng KSF MKT</t>
  </si>
  <si>
    <t>Triển khai bán hàng bao phủ theo KPI tung hàng mới:
- Ao 15.000 điểm bán ( khô)
- Ao: 15.099 điểm bán ( Waffles Kisshu).
- KV1: 21%
- KV2: 44%
- KV3: 37%</t>
  </si>
  <si>
    <t>Hệ thống điểm bán kênh GT:
 - Hiện nay:
      - Vùng 1: 630 AO
     -  Vùng 2: 3660 AO
      - Vùng 3:  1680 AO
Mục tiêu phát triển New outlet: 9000
 - Vùng 1: 1000
 - Vùng 2: 5000
 - Vùng 3: 3000
Mở rộng triển khai thêm chính sách SM, SS tách kênh riêng</t>
  </si>
  <si>
    <t xml:space="preserve">Tháng 9 và quý 4.2021
</t>
  </si>
  <si>
    <t>Điểm bán cũ và mới của kênh GT trên từng vùng.
- %AO điểm bán
- NO theo mục tiêu phát triển khách hàng.</t>
  </si>
  <si>
    <t>Sales Engagement</t>
  </si>
  <si>
    <t>Thưởng kích thích bán hàng:
THưởng đầu thùng: 
- Kisshu: 6000/ thùng / SM - số lượng thùng 41.230
- SWH mới : 6000/ thùng /SM - số lượng SW mới 46.800 thùng
- SW cũ: 3000/ thùng /SM - sản lượng ra hàng 109.143 thùng
- Feretti: 6000/ thùng /SM 40 thùng lĩnh thưởng  - sản lượng 67.068 thùng</t>
  </si>
  <si>
    <t xml:space="preserve">Gia tăng doanh thu để hoàn thành chỉ tiêu bán hàng của công ty giao cho.
Kích thích anh em SM triển khai bán hàng các sp mới và duy trì sản lượng bán hàng.
</t>
  </si>
  <si>
    <t xml:space="preserve">Tháng 9 và Q4.2021
</t>
  </si>
  <si>
    <t>Hệ thống điểm bán kênh GT:
 - Hiện nay:
      - Vùng 1: 630 AO
     -  Vùng 2: 3660 AO
      - Vùng 3:  1680 AO
Mục tiêu phát triển New outlet: 9000
 - Vùng 1: 1000 ( khô &amp; tươi)
 - Vùng 2: 5000 ( khô &amp; tươi)
 - Vùng 3: 3000 ( khô &amp; tươi)
Mở rộng triển khai thêm chính sách SM, SS tách kênh riêng</t>
  </si>
  <si>
    <t>Total OTS tiếp cận 2 nhóm tiếp cận:
- Customer: 15.000 Outelt trên toàn miền Nam. Chủ CH tiếp cận liên tiếp HA Sp
- Shopper: 20% cửa hàng lớn visit &gt; 50 khách/ ngày = 20% * 15000 * 50 * 90 ngày = 13.500.000 lượt tiếp cận.</t>
  </si>
  <si>
    <t xml:space="preserve">Tạo nhận diện với dối tượng khách hàng tiêu dùng cuối &amp; shopper
- Trường học ( 30 trường)
- Chợ ( 40 chợ)
- Tạp hóa lớn ( 30)
</t>
  </si>
  <si>
    <t>Phân bổ theo nhu cầu của ASM, SS khi triển khai bánh mới
- Dự kiến khu của Trade:
 - Vùng 1: 25 ( 10 trường, 10 cửa hàng, 5 chợ)
 - Vùng 2: 40 ( 20 cửa hàng , 10 chợ, 10 tạp hóa lớn)
 - Vùng 3: 35 ( 15 chợ, 10 tạp hóa, 5 trường)</t>
  </si>
  <si>
    <t>SAMPLING tại trường học/ cửa hàng - bánh Kisshu ( sampling)</t>
  </si>
  <si>
    <t>Điểm bán kênh GT đo lường shopper
_ điểm bán chợ đo lường shopper và customer
Trường học đo lường end- user</t>
  </si>
  <si>
    <t xml:space="preserve">Chi phí dự kiến trung bình 1 ctr: 5tr/ triển khai tại địa phương do sales trade coop triển khai hoặc sales tự triển khai =&gt; trade chuyển POSM xuống  ( both, uniform, pop hàng hoa ứng npp trả lại trên đơn hàng sau campaign).  Triển khai 0.5 ngày setup, 1,5 ngày bán, 0.5 ngày thu dọn di chuyển. (both 2 bạn ) both 1tr5, ns ( 700k bạn x 2,5  x 2= 3tr. to roi 3000 / both ( 500k), hàng hóa 200 bánh cắt thử test vị ( 200k) giá cost.
khảo sát khách hàng bằng câu hỏi đơn giản vị, giá, bao bì
</t>
  </si>
  <si>
    <t>Total OTS: tiếp cận cứng 129.750 - nhưng tiếp cậm OTS có thể cao &gt;  5.000.000 lượt ( do lưu thông)
Trường ( 25 trường): 1000 hoc sinh x 1,5 ngày x 25 = 37.500
Chợ ( 30 chợ): 2000 người x 1,5 x 30 = 90.000
CH tạp hóa ( 30) = 50*1,5*30 = 2.250
Total mẫu khảo sát kỳ vọng Khoảng 5000 mẫu về giá, bao bì, mùi vị
Budegt : 500.000.000 vnđ ( sẽ planing chi tiết khi triển khai thực tế cùng sales).</t>
  </si>
  <si>
    <t>PROMOTION</t>
  </si>
  <si>
    <t xml:space="preserve">Hỗ trợ promotion cho ASM làm số với NPP </t>
  </si>
  <si>
    <t>Toàn vùng kinh doanh miền Nam : vùng 1 , vùng 2, vùng 3</t>
  </si>
  <si>
    <t>Điểm bán kênh GT &amp; đại lý</t>
  </si>
  <si>
    <r>
      <t>Total OTS tiếp cận 2 nhóm tiếp cận:
- Customer: 15.000 Outelt trên toàn miền Nam. Chủ CH tiếp cận liên tiếp HA Sp
- Shopper: 20% cửa hàng lớn visit &gt; 50 khách/ ngày = 20% * 15000 * 50 * 90 ngày = 13.500.000 lượt tiếp cận.
- Total cost:
-  Chi phí SX: 700.000.000 vnđ
- C</t>
    </r>
    <r>
      <rPr>
        <i/>
        <sz val="11"/>
        <color rgb="FFC00000"/>
        <rFont val="Calibri"/>
        <family val="2"/>
        <scheme val="minor"/>
      </rPr>
      <t>hi phí trả thưởng trích trong chi phí dự phòng MKT : 1 pack 6 waffles x 24000 x 3 =x 15000 = 411.000.000 trích ngân sách dự phòng. TTotal trả thưởng = 741.000.000 vnđ ( chi phí này cần tính sát của Kế toán nhưng chưa chốt bao bì tạm tính</t>
    </r>
  </si>
  <si>
    <t>Chi phí thiết kế ấn phẫm</t>
  </si>
  <si>
    <t>Chi phí bánh sampilin cho khu vực sales sampling câm  mẫu đi chào cửa hàng</t>
  </si>
  <si>
    <t>giá chưa chốt net</t>
  </si>
  <si>
    <t>Chi phí hàng samp;ing dự phòng cho 100 điểm ngoài local public</t>
  </si>
  <si>
    <t>Chi phí giấy phép quảng cáp</t>
  </si>
  <si>
    <t>Chi ohii kích hoạt brand activition tại coomercial floor các ( dạng big event)</t>
  </si>
  <si>
    <t>Total MKT cbudget</t>
  </si>
  <si>
    <t>SX POSM Sales toolist , tờ rơi…. Catalogue/ sx ân phảm của BN miền Nam</t>
  </si>
  <si>
    <t>Tháng 10</t>
  </si>
  <si>
    <t>Tỉ trọng MKT</t>
  </si>
  <si>
    <t>Doanh thu Q4.2021</t>
  </si>
  <si>
    <t>Miền Nam</t>
  </si>
  <si>
    <t>Hộp thiết</t>
  </si>
  <si>
    <t>Snack</t>
  </si>
  <si>
    <t>Thạch</t>
  </si>
  <si>
    <t>Bánh trứng nướng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</si>
</sst>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2" formatCode="_-* #,##0\ &quot;₫&quot;_-;\-* #,##0\ &quot;₫&quot;_-;_-* &quot;-&quot;\ &quot;₫&quot;_-;_-@_-"/>
    <numFmt numFmtId="164" formatCode="_(&quot;$&quot;* #,##0.00_);_(&quot;$&quot;* \(#,##0.00\);_(&quot;$&quot;* &quot;-&quot;??_);_(@_)"/>
    <numFmt numFmtId="165" formatCode="_(* #,##0.00_);_(* \(#,##0.00\);_(* &quot;-&quot;??_);_(@_)"/>
    <numFmt numFmtId="166" formatCode="_(* #,##0_);_(* \(#,##0\);_(* &quot;-&quot;??_);_(@_)"/>
    <numFmt numFmtId="167" formatCode="0.0%"/>
    <numFmt numFmtId="168" formatCode="_(* #,##0.0_);_(* \(#,##0.0\);_(* &quot;-&quot;?_);_(@_)"/>
    <numFmt numFmtId="169" formatCode="_(* #,##0_);_(* \(#,##0\);_(* &quot;-&quot;?_);_(@_)"/>
    <numFmt numFmtId="170" formatCode="_-* #,##0_-;\-* #,##0_-;_-* &quot;-&quot;??_-;_-@_-"/>
    <numFmt numFmtId="171" formatCode="[$-409]d\-mmm\-yy;@"/>
    <numFmt numFmtId="172" formatCode="_([$VND]\ * #,##0_);_([$VND]\ * \(#,##0\);_([$VND]\ * &quot;-&quot;??_);_(@_)"/>
    <numFmt numFmtId="173" formatCode="m/d"/>
    <numFmt numFmtId="174" formatCode="_-* #,##0\ [$VND]_-;\-* #,##0\ [$VND]_-;_-* &quot;-&quot;\ [$VND]_-;_-@_-"/>
    <numFmt numFmtId="175" formatCode="_(* #,##0.000_);_(* \(#,##0.000\);_(* &quot;-&quot;??_);_(@_)"/>
    <numFmt numFmtId="176" formatCode="_([$VND]\ * #,##0.0_);_([$VND]\ * \(#,##0.0\);_([$VND]\ * &quot;-&quot;?_);_(@_)"/>
  </numFmts>
  <fonts count="57" x14ac:knownFonts="1">
    <font>
      <sz val="11"/>
      <color theme="1"/>
      <name val="Calibri"/>
      <family val="2"/>
      <scheme val="minor"/>
    </font>
    <font>
      <sz val="11"/>
      <color theme="1"/>
      <name val="Calibri"/>
      <family val="2"/>
      <scheme val="minor"/>
    </font>
    <font>
      <sz val="11"/>
      <color theme="1"/>
      <name val="Times New Roman"/>
      <family val="2"/>
    </font>
    <font>
      <b/>
      <sz val="11"/>
      <color theme="0"/>
      <name val="Calibri Light"/>
      <family val="2"/>
      <scheme val="major"/>
    </font>
    <font>
      <sz val="11"/>
      <color theme="1"/>
      <name val="Cambria"/>
      <family val="1"/>
    </font>
    <font>
      <sz val="11"/>
      <color indexed="8"/>
      <name val="Calibri"/>
      <family val="2"/>
    </font>
    <font>
      <sz val="11"/>
      <name val="Calibri Light"/>
      <family val="2"/>
      <scheme val="major"/>
    </font>
    <font>
      <sz val="8"/>
      <name val="Arial"/>
      <family val="2"/>
    </font>
    <font>
      <sz val="10"/>
      <name val="Arial"/>
      <family val="2"/>
    </font>
    <font>
      <sz val="10"/>
      <name val="Comic Sans MS"/>
      <family val="4"/>
    </font>
    <font>
      <sz val="10"/>
      <name val="Calibri Light"/>
      <family val="2"/>
      <scheme val="major"/>
    </font>
    <font>
      <b/>
      <sz val="9"/>
      <name val="Arial Narrow"/>
      <family val="2"/>
    </font>
    <font>
      <sz val="9"/>
      <name val="Arial Narrow"/>
      <family val="2"/>
    </font>
    <font>
      <b/>
      <sz val="20"/>
      <name val="Arial Narrow"/>
      <family val="2"/>
    </font>
    <font>
      <sz val="11"/>
      <color theme="1"/>
      <name val="Arial Narrow"/>
      <family val="2"/>
    </font>
    <font>
      <b/>
      <sz val="10"/>
      <color theme="0"/>
      <name val="Arial Narrow"/>
      <family val="2"/>
    </font>
    <font>
      <sz val="11"/>
      <color theme="0"/>
      <name val="Arial Narrow"/>
      <family val="2"/>
    </font>
    <font>
      <b/>
      <sz val="11"/>
      <color theme="0"/>
      <name val="Arial Narrow"/>
      <family val="2"/>
    </font>
    <font>
      <sz val="10"/>
      <color theme="1"/>
      <name val="Arial Narrow"/>
      <family val="2"/>
    </font>
    <font>
      <sz val="11"/>
      <name val="Arial Narrow"/>
      <family val="2"/>
    </font>
    <font>
      <sz val="10"/>
      <color theme="0"/>
      <name val="Arial Narrow"/>
      <family val="2"/>
    </font>
    <font>
      <sz val="9"/>
      <color theme="0"/>
      <name val="Arial Narrow"/>
      <family val="2"/>
    </font>
    <font>
      <sz val="9"/>
      <color theme="1"/>
      <name val="Arial Narrow"/>
      <family val="2"/>
    </font>
    <font>
      <b/>
      <sz val="12"/>
      <name val="Calibri Light"/>
      <family val="2"/>
      <scheme val="major"/>
    </font>
    <font>
      <sz val="10"/>
      <name val="Arial Narrow"/>
      <family val="2"/>
    </font>
    <font>
      <b/>
      <sz val="9"/>
      <color theme="0"/>
      <name val="Arial Narrow"/>
      <family val="2"/>
    </font>
    <font>
      <b/>
      <sz val="10"/>
      <color theme="1"/>
      <name val="Arial Narrow"/>
      <family val="2"/>
    </font>
    <font>
      <i/>
      <sz val="10"/>
      <color theme="1"/>
      <name val="Arial Narrow"/>
      <family val="2"/>
    </font>
    <font>
      <b/>
      <i/>
      <sz val="10"/>
      <color theme="0"/>
      <name val="Arial Narrow"/>
      <family val="2"/>
    </font>
    <font>
      <sz val="24"/>
      <color theme="0"/>
      <name val="Arial Narrow"/>
      <family val="2"/>
    </font>
    <font>
      <i/>
      <sz val="10"/>
      <color rgb="FFFF0000"/>
      <name val="Arial Narrow"/>
      <family val="2"/>
    </font>
    <font>
      <sz val="9"/>
      <color indexed="8"/>
      <name val="Arial Narrow"/>
      <family val="2"/>
    </font>
    <font>
      <b/>
      <i/>
      <sz val="9"/>
      <color theme="1"/>
      <name val="Arial Narrow"/>
      <family val="2"/>
    </font>
    <font>
      <sz val="9"/>
      <color rgb="FFFF0000"/>
      <name val="Arial Narrow"/>
      <family val="2"/>
    </font>
    <font>
      <b/>
      <sz val="9"/>
      <color indexed="8"/>
      <name val="Arial Narrow"/>
      <family val="2"/>
    </font>
    <font>
      <b/>
      <sz val="9"/>
      <color theme="1"/>
      <name val="Arial Narrow"/>
      <family val="2"/>
    </font>
    <font>
      <b/>
      <sz val="20"/>
      <name val="Calibri Light"/>
      <family val="2"/>
      <scheme val="major"/>
    </font>
    <font>
      <b/>
      <sz val="10"/>
      <name val="Calibri Light"/>
      <family val="2"/>
      <scheme val="major"/>
    </font>
    <font>
      <b/>
      <i/>
      <sz val="10"/>
      <name val="Calibri Light"/>
      <family val="2"/>
      <scheme val="major"/>
    </font>
    <font>
      <b/>
      <i/>
      <sz val="11"/>
      <name val="Calibri Light"/>
      <family val="2"/>
      <scheme val="major"/>
    </font>
    <font>
      <sz val="8"/>
      <name val="Arial Narrow"/>
      <family val="2"/>
    </font>
    <font>
      <b/>
      <sz val="10"/>
      <name val="Arial Narrow"/>
      <family val="2"/>
    </font>
    <font>
      <b/>
      <sz val="11"/>
      <name val="Arial Narrow"/>
      <family val="2"/>
    </font>
    <font>
      <b/>
      <u/>
      <sz val="11"/>
      <name val="Arial Narrow"/>
      <family val="2"/>
    </font>
    <font>
      <u/>
      <sz val="11"/>
      <name val="Arial Narrow"/>
      <family val="2"/>
    </font>
    <font>
      <b/>
      <sz val="12"/>
      <name val="Arial Narrow"/>
      <family val="2"/>
    </font>
    <font>
      <i/>
      <sz val="9"/>
      <name val="Arial Narrow"/>
      <family val="2"/>
    </font>
    <font>
      <b/>
      <u val="singleAccounting"/>
      <sz val="11"/>
      <name val="Arial Narrow"/>
      <family val="2"/>
    </font>
    <font>
      <b/>
      <sz val="10"/>
      <color theme="0"/>
      <name val="Calibri Light"/>
      <family val="2"/>
      <scheme val="major"/>
    </font>
    <font>
      <sz val="11"/>
      <color theme="0"/>
      <name val="Calibri"/>
      <family val="2"/>
      <scheme val="minor"/>
    </font>
    <font>
      <b/>
      <sz val="16"/>
      <color theme="0"/>
      <name val="Calibri"/>
      <family val="2"/>
      <scheme val="minor"/>
    </font>
    <font>
      <sz val="10"/>
      <color theme="1"/>
      <name val="Calibri"/>
      <family val="2"/>
      <scheme val="minor"/>
    </font>
    <font>
      <i/>
      <sz val="11"/>
      <color rgb="FFC00000"/>
      <name val="Calibri"/>
      <family val="2"/>
      <scheme val="minor"/>
    </font>
    <font>
      <b/>
      <sz val="12"/>
      <color theme="0"/>
      <name val="Calibri"/>
      <family val="2"/>
      <scheme val="minor"/>
    </font>
    <font>
      <sz val="12"/>
      <color theme="0"/>
      <name val="Calibri"/>
      <family val="2"/>
      <scheme val="minor"/>
    </font>
    <font>
      <sz val="14"/>
      <color theme="0"/>
      <name val="Arial Narrow"/>
      <family val="2"/>
    </font>
    <font>
      <sz val="10"/>
      <color theme="0"/>
      <name val="Calibri"/>
      <family val="2"/>
      <scheme val="minor"/>
    </font>
  </fonts>
  <fills count="11">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rgb="FFFFFF00"/>
        <bgColor indexed="64"/>
      </patternFill>
    </fill>
    <fill>
      <patternFill patternType="solid">
        <fgColor theme="9" tint="-0.499984740745262"/>
        <bgColor indexed="64"/>
      </patternFill>
    </fill>
    <fill>
      <patternFill patternType="solid">
        <fgColor theme="5" tint="0.59999389629810485"/>
        <bgColor indexed="64"/>
      </patternFill>
    </fill>
    <fill>
      <patternFill patternType="solid">
        <fgColor indexed="9"/>
        <bgColor indexed="64"/>
      </patternFill>
    </fill>
    <fill>
      <patternFill patternType="solid">
        <fgColor theme="0" tint="-0.249977111117893"/>
        <bgColor indexed="64"/>
      </patternFill>
    </fill>
    <fill>
      <patternFill patternType="solid">
        <fgColor rgb="FFFFC000"/>
        <bgColor indexed="64"/>
      </patternFill>
    </fill>
    <fill>
      <patternFill patternType="solid">
        <fgColor rgb="FFFF0000"/>
        <bgColor indexed="64"/>
      </patternFill>
    </fill>
  </fills>
  <borders count="93">
    <border>
      <left/>
      <right/>
      <top/>
      <bottom/>
      <diagonal/>
    </border>
    <border>
      <left style="medium">
        <color rgb="FFC00000"/>
      </left>
      <right style="medium">
        <color rgb="FFC00000"/>
      </right>
      <top style="medium">
        <color rgb="FFC00000"/>
      </top>
      <bottom style="medium">
        <color rgb="FFC0000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style="medium">
        <color rgb="FFC00000"/>
      </right>
      <top style="medium">
        <color rgb="FFC00000"/>
      </top>
      <bottom/>
      <diagonal/>
    </border>
    <border>
      <left style="medium">
        <color rgb="FFC00000"/>
      </left>
      <right style="medium">
        <color rgb="FFC00000"/>
      </right>
      <top/>
      <bottom/>
      <diagonal/>
    </border>
    <border>
      <left style="medium">
        <color rgb="FFC00000"/>
      </left>
      <right style="medium">
        <color rgb="FFC00000"/>
      </right>
      <top/>
      <bottom style="medium">
        <color rgb="FFC00000"/>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rgb="FFC00000"/>
      </top>
      <bottom style="medium">
        <color rgb="FFC00000"/>
      </bottom>
      <diagonal/>
    </border>
    <border>
      <left/>
      <right style="medium">
        <color indexed="64"/>
      </right>
      <top style="medium">
        <color rgb="FFC00000"/>
      </top>
      <bottom style="medium">
        <color rgb="FFC00000"/>
      </bottom>
      <diagonal/>
    </border>
    <border>
      <left/>
      <right style="thin">
        <color rgb="FFC00000"/>
      </right>
      <top/>
      <bottom/>
      <diagonal/>
    </border>
    <border>
      <left/>
      <right/>
      <top/>
      <bottom style="thin">
        <color rgb="FFC00000"/>
      </bottom>
      <diagonal/>
    </border>
    <border>
      <left style="medium">
        <color indexed="64"/>
      </left>
      <right style="thin">
        <color rgb="FFC00000"/>
      </right>
      <top/>
      <bottom/>
      <diagonal/>
    </border>
    <border>
      <left style="medium">
        <color rgb="FFC00000"/>
      </left>
      <right style="thin">
        <color auto="1"/>
      </right>
      <top style="medium">
        <color rgb="FFC00000"/>
      </top>
      <bottom style="thin">
        <color auto="1"/>
      </bottom>
      <diagonal/>
    </border>
    <border>
      <left style="thin">
        <color auto="1"/>
      </left>
      <right style="thin">
        <color auto="1"/>
      </right>
      <top style="medium">
        <color rgb="FFC00000"/>
      </top>
      <bottom style="thin">
        <color auto="1"/>
      </bottom>
      <diagonal/>
    </border>
    <border>
      <left/>
      <right style="thin">
        <color auto="1"/>
      </right>
      <top style="medium">
        <color rgb="FFC00000"/>
      </top>
      <bottom/>
      <diagonal/>
    </border>
    <border>
      <left style="thin">
        <color auto="1"/>
      </left>
      <right style="medium">
        <color rgb="FFC00000"/>
      </right>
      <top style="medium">
        <color rgb="FFC00000"/>
      </top>
      <bottom/>
      <diagonal/>
    </border>
    <border>
      <left style="medium">
        <color rgb="FFC00000"/>
      </left>
      <right style="thin">
        <color auto="1"/>
      </right>
      <top style="thin">
        <color auto="1"/>
      </top>
      <bottom style="thin">
        <color auto="1"/>
      </bottom>
      <diagonal/>
    </border>
    <border>
      <left style="thin">
        <color auto="1"/>
      </left>
      <right style="medium">
        <color rgb="FFC00000"/>
      </right>
      <top/>
      <bottom/>
      <diagonal/>
    </border>
    <border>
      <left style="medium">
        <color rgb="FFC00000"/>
      </left>
      <right style="thin">
        <color auto="1"/>
      </right>
      <top style="thin">
        <color auto="1"/>
      </top>
      <bottom/>
      <diagonal/>
    </border>
    <border>
      <left style="thin">
        <color auto="1"/>
      </left>
      <right style="thin">
        <color auto="1"/>
      </right>
      <top style="thin">
        <color auto="1"/>
      </top>
      <bottom/>
      <diagonal/>
    </border>
    <border>
      <left style="thick">
        <color rgb="FFC00000"/>
      </left>
      <right style="thick">
        <color rgb="FFC00000"/>
      </right>
      <top style="thick">
        <color rgb="FFC00000"/>
      </top>
      <bottom/>
      <diagonal/>
    </border>
    <border>
      <left style="thin">
        <color auto="1"/>
      </left>
      <right style="medium">
        <color rgb="FFC00000"/>
      </right>
      <top style="thin">
        <color auto="1"/>
      </top>
      <bottom style="thin">
        <color auto="1"/>
      </bottom>
      <diagonal/>
    </border>
    <border>
      <left style="medium">
        <color rgb="FFC00000"/>
      </left>
      <right style="thin">
        <color auto="1"/>
      </right>
      <top style="thin">
        <color auto="1"/>
      </top>
      <bottom style="medium">
        <color rgb="FFC00000"/>
      </bottom>
      <diagonal/>
    </border>
    <border>
      <left style="thin">
        <color auto="1"/>
      </left>
      <right style="thin">
        <color auto="1"/>
      </right>
      <top style="thin">
        <color auto="1"/>
      </top>
      <bottom style="medium">
        <color rgb="FFC00000"/>
      </bottom>
      <diagonal/>
    </border>
    <border>
      <left style="thin">
        <color auto="1"/>
      </left>
      <right style="medium">
        <color rgb="FFC00000"/>
      </right>
      <top style="thin">
        <color auto="1"/>
      </top>
      <bottom style="medium">
        <color rgb="FFC00000"/>
      </bottom>
      <diagonal/>
    </border>
    <border>
      <left style="medium">
        <color rgb="FFC00000"/>
      </left>
      <right/>
      <top style="medium">
        <color rgb="FFC00000"/>
      </top>
      <bottom style="thin">
        <color auto="1"/>
      </bottom>
      <diagonal/>
    </border>
    <border>
      <left/>
      <right/>
      <top style="medium">
        <color rgb="FFC00000"/>
      </top>
      <bottom style="thin">
        <color auto="1"/>
      </bottom>
      <diagonal/>
    </border>
    <border>
      <left style="thin">
        <color auto="1"/>
      </left>
      <right style="medium">
        <color rgb="FFC00000"/>
      </right>
      <top style="medium">
        <color rgb="FFC00000"/>
      </top>
      <bottom style="thin">
        <color auto="1"/>
      </bottom>
      <diagonal/>
    </border>
    <border>
      <left style="thin">
        <color auto="1"/>
      </left>
      <right/>
      <top style="thin">
        <color auto="1"/>
      </top>
      <bottom style="thin">
        <color auto="1"/>
      </bottom>
      <diagonal/>
    </border>
    <border>
      <left/>
      <right/>
      <top style="thin">
        <color auto="1"/>
      </top>
      <bottom/>
      <diagonal/>
    </border>
    <border>
      <left/>
      <right/>
      <top style="thin">
        <color auto="1"/>
      </top>
      <bottom style="thin">
        <color auto="1"/>
      </bottom>
      <diagonal/>
    </border>
    <border>
      <left/>
      <right/>
      <top style="thin">
        <color auto="1"/>
      </top>
      <bottom style="medium">
        <color rgb="FFC00000"/>
      </bottom>
      <diagonal/>
    </border>
    <border>
      <left/>
      <right/>
      <top/>
      <bottom style="thin">
        <color auto="1"/>
      </bottom>
      <diagonal/>
    </border>
    <border>
      <left/>
      <right/>
      <top style="medium">
        <color auto="1"/>
      </top>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thick">
        <color indexed="64"/>
      </top>
      <bottom/>
      <diagonal/>
    </border>
    <border>
      <left style="medium">
        <color indexed="64"/>
      </left>
      <right style="medium">
        <color indexed="64"/>
      </right>
      <top/>
      <bottom style="thick">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style="thin">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theme="1"/>
      </left>
      <right style="hair">
        <color theme="1"/>
      </right>
      <top style="medium">
        <color theme="1"/>
      </top>
      <bottom style="hair">
        <color theme="1"/>
      </bottom>
      <diagonal/>
    </border>
    <border>
      <left style="hair">
        <color theme="1"/>
      </left>
      <right style="hair">
        <color theme="1"/>
      </right>
      <top style="medium">
        <color theme="1"/>
      </top>
      <bottom style="hair">
        <color theme="1"/>
      </bottom>
      <diagonal/>
    </border>
    <border>
      <left style="hair">
        <color theme="1"/>
      </left>
      <right style="medium">
        <color theme="1"/>
      </right>
      <top style="medium">
        <color theme="1"/>
      </top>
      <bottom style="hair">
        <color theme="1"/>
      </bottom>
      <diagonal/>
    </border>
    <border>
      <left style="medium">
        <color theme="1"/>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medium">
        <color theme="1"/>
      </right>
      <top style="hair">
        <color theme="1"/>
      </top>
      <bottom style="hair">
        <color theme="1"/>
      </bottom>
      <diagonal/>
    </border>
    <border>
      <left style="medium">
        <color theme="1"/>
      </left>
      <right style="hair">
        <color theme="1"/>
      </right>
      <top style="hair">
        <color theme="1"/>
      </top>
      <bottom style="medium">
        <color theme="1"/>
      </bottom>
      <diagonal/>
    </border>
    <border>
      <left style="hair">
        <color theme="1"/>
      </left>
      <right style="hair">
        <color theme="1"/>
      </right>
      <top style="hair">
        <color theme="1"/>
      </top>
      <bottom style="medium">
        <color theme="1"/>
      </bottom>
      <diagonal/>
    </border>
    <border>
      <left style="hair">
        <color theme="1"/>
      </left>
      <right style="medium">
        <color theme="1"/>
      </right>
      <top style="hair">
        <color theme="1"/>
      </top>
      <bottom style="medium">
        <color theme="1"/>
      </bottom>
      <diagonal/>
    </border>
    <border>
      <left/>
      <right style="thin">
        <color auto="1"/>
      </right>
      <top style="thin">
        <color auto="1"/>
      </top>
      <bottom style="thin">
        <color auto="1"/>
      </bottom>
      <diagonal/>
    </border>
  </borders>
  <cellStyleXfs count="10">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0" borderId="0"/>
    <xf numFmtId="0" fontId="4" fillId="0" borderId="0">
      <alignment vertical="center"/>
    </xf>
    <xf numFmtId="165" fontId="5" fillId="0" borderId="0" applyFont="0" applyFill="0" applyBorder="0" applyAlignment="0" applyProtection="0"/>
    <xf numFmtId="0" fontId="7" fillId="0" borderId="0"/>
    <xf numFmtId="0" fontId="8" fillId="7" borderId="0"/>
    <xf numFmtId="165" fontId="7" fillId="0" borderId="0" applyFont="0" applyFill="0" applyBorder="0" applyAlignment="0" applyProtection="0"/>
    <xf numFmtId="0" fontId="9" fillId="0" borderId="0"/>
  </cellStyleXfs>
  <cellXfs count="1207">
    <xf numFmtId="0" fontId="0" fillId="0" borderId="0" xfId="0"/>
    <xf numFmtId="0" fontId="14" fillId="0" borderId="0" xfId="0" applyFont="1"/>
    <xf numFmtId="0" fontId="15" fillId="2" borderId="2" xfId="0" applyFont="1" applyFill="1" applyBorder="1" applyAlignment="1">
      <alignment horizontal="center"/>
    </xf>
    <xf numFmtId="0" fontId="15" fillId="2" borderId="3" xfId="0" applyFont="1" applyFill="1" applyBorder="1" applyAlignment="1">
      <alignment horizontal="center"/>
    </xf>
    <xf numFmtId="0" fontId="15" fillId="2" borderId="3" xfId="0" applyFont="1" applyFill="1" applyBorder="1" applyAlignment="1">
      <alignment horizontal="center" vertical="center"/>
    </xf>
    <xf numFmtId="0" fontId="18" fillId="0" borderId="16" xfId="0" applyFont="1" applyBorder="1" applyAlignment="1">
      <alignment horizontal="center"/>
    </xf>
    <xf numFmtId="0" fontId="18" fillId="0" borderId="16" xfId="0" applyFont="1" applyBorder="1"/>
    <xf numFmtId="166" fontId="18" fillId="0" borderId="16" xfId="1" applyNumberFormat="1" applyFont="1" applyBorder="1" applyAlignment="1">
      <alignment horizontal="center" vertical="center"/>
    </xf>
    <xf numFmtId="166" fontId="19" fillId="3" borderId="16" xfId="0" applyNumberFormat="1" applyFont="1" applyFill="1" applyBorder="1"/>
    <xf numFmtId="9" fontId="18" fillId="0" borderId="16" xfId="0" applyNumberFormat="1" applyFont="1" applyBorder="1"/>
    <xf numFmtId="10" fontId="18" fillId="0" borderId="16" xfId="0" applyNumberFormat="1" applyFont="1" applyBorder="1"/>
    <xf numFmtId="0" fontId="6" fillId="3" borderId="0" xfId="0" applyFont="1" applyFill="1"/>
    <xf numFmtId="0" fontId="19" fillId="0" borderId="57" xfId="7" applyFont="1" applyFill="1" applyBorder="1" applyAlignment="1">
      <alignment horizontal="left" vertical="center" wrapText="1"/>
    </xf>
    <xf numFmtId="0" fontId="19" fillId="0" borderId="0" xfId="7" applyFont="1" applyFill="1" applyAlignment="1">
      <alignment horizontal="left" vertical="center" wrapText="1"/>
    </xf>
    <xf numFmtId="0" fontId="15" fillId="2" borderId="0" xfId="0" applyFont="1" applyFill="1"/>
    <xf numFmtId="0" fontId="22" fillId="0" borderId="0" xfId="0" applyFont="1"/>
    <xf numFmtId="0" fontId="21" fillId="2" borderId="0" xfId="0" applyFont="1" applyFill="1" applyAlignment="1">
      <alignment horizontal="center"/>
    </xf>
    <xf numFmtId="0" fontId="22" fillId="2" borderId="0" xfId="0" applyFont="1" applyFill="1"/>
    <xf numFmtId="0" fontId="18" fillId="0" borderId="0" xfId="0" applyFont="1"/>
    <xf numFmtId="0" fontId="18" fillId="0" borderId="20" xfId="0" applyFont="1" applyBorder="1" applyAlignment="1">
      <alignment horizontal="center"/>
    </xf>
    <xf numFmtId="166" fontId="18" fillId="0" borderId="0" xfId="1" applyNumberFormat="1" applyFont="1" applyBorder="1"/>
    <xf numFmtId="166" fontId="18" fillId="0" borderId="0" xfId="0" applyNumberFormat="1" applyFont="1"/>
    <xf numFmtId="9" fontId="18" fillId="0" borderId="0" xfId="0" applyNumberFormat="1" applyFont="1"/>
    <xf numFmtId="9" fontId="18" fillId="0" borderId="0" xfId="2" applyFont="1" applyBorder="1"/>
    <xf numFmtId="0" fontId="20" fillId="2" borderId="0" xfId="0" applyFont="1" applyFill="1" applyAlignment="1">
      <alignment horizontal="center"/>
    </xf>
    <xf numFmtId="0" fontId="18" fillId="2" borderId="0" xfId="0" applyFont="1" applyFill="1"/>
    <xf numFmtId="166" fontId="15" fillId="2" borderId="0" xfId="1" applyNumberFormat="1" applyFont="1" applyFill="1"/>
    <xf numFmtId="166" fontId="26" fillId="0" borderId="0" xfId="1" applyNumberFormat="1" applyFont="1"/>
    <xf numFmtId="0" fontId="15" fillId="2" borderId="11" xfId="0" applyFont="1" applyFill="1" applyBorder="1" applyAlignment="1">
      <alignment horizontal="center"/>
    </xf>
    <xf numFmtId="0" fontId="15" fillId="2" borderId="11" xfId="0" applyFont="1" applyFill="1" applyBorder="1" applyAlignment="1">
      <alignment horizontal="center" vertical="center"/>
    </xf>
    <xf numFmtId="0" fontId="15" fillId="2" borderId="12" xfId="0" applyFont="1" applyFill="1" applyBorder="1" applyAlignment="1">
      <alignment horizontal="center" vertical="center"/>
    </xf>
    <xf numFmtId="0" fontId="20" fillId="2" borderId="11" xfId="0" applyFont="1" applyFill="1" applyBorder="1"/>
    <xf numFmtId="166" fontId="20" fillId="2" borderId="11" xfId="1" applyNumberFormat="1" applyFont="1" applyFill="1" applyBorder="1" applyAlignment="1">
      <alignment horizontal="center" vertical="center"/>
    </xf>
    <xf numFmtId="9" fontId="20" fillId="2" borderId="11" xfId="0" applyNumberFormat="1" applyFont="1" applyFill="1" applyBorder="1" applyAlignment="1">
      <alignment horizontal="center"/>
    </xf>
    <xf numFmtId="0" fontId="20" fillId="2" borderId="0" xfId="0" applyFont="1" applyFill="1"/>
    <xf numFmtId="166" fontId="20" fillId="2" borderId="0" xfId="1" applyNumberFormat="1" applyFont="1" applyFill="1" applyBorder="1" applyAlignment="1">
      <alignment horizontal="center" vertical="center"/>
    </xf>
    <xf numFmtId="9" fontId="20" fillId="2" borderId="0" xfId="0" applyNumberFormat="1" applyFont="1" applyFill="1" applyAlignment="1">
      <alignment horizontal="center"/>
    </xf>
    <xf numFmtId="0" fontId="20" fillId="2" borderId="3" xfId="0" applyFont="1" applyFill="1" applyBorder="1"/>
    <xf numFmtId="166" fontId="24" fillId="3" borderId="16" xfId="0" applyNumberFormat="1" applyFont="1" applyFill="1" applyBorder="1"/>
    <xf numFmtId="166" fontId="18" fillId="0" borderId="0" xfId="1" applyNumberFormat="1" applyFont="1"/>
    <xf numFmtId="1" fontId="18" fillId="0" borderId="0" xfId="0" applyNumberFormat="1" applyFont="1"/>
    <xf numFmtId="0" fontId="20" fillId="3" borderId="0" xfId="0" applyFont="1" applyFill="1"/>
    <xf numFmtId="10" fontId="18" fillId="0" borderId="0" xfId="0" applyNumberFormat="1" applyFont="1"/>
    <xf numFmtId="0" fontId="15" fillId="2" borderId="4" xfId="0" applyFont="1" applyFill="1" applyBorder="1" applyAlignment="1">
      <alignment horizontal="center"/>
    </xf>
    <xf numFmtId="0" fontId="15" fillId="2" borderId="2" xfId="0" applyFont="1" applyFill="1" applyBorder="1"/>
    <xf numFmtId="0" fontId="15" fillId="2" borderId="3" xfId="0" applyFont="1" applyFill="1" applyBorder="1"/>
    <xf numFmtId="0" fontId="15" fillId="2" borderId="4" xfId="0" applyFont="1" applyFill="1" applyBorder="1"/>
    <xf numFmtId="0" fontId="20" fillId="2" borderId="2" xfId="0" applyFont="1" applyFill="1" applyBorder="1"/>
    <xf numFmtId="0" fontId="20" fillId="2" borderId="4" xfId="0" applyFont="1" applyFill="1" applyBorder="1"/>
    <xf numFmtId="166" fontId="15" fillId="2" borderId="0" xfId="0" applyNumberFormat="1" applyFont="1" applyFill="1"/>
    <xf numFmtId="166" fontId="18" fillId="0" borderId="16" xfId="0" applyNumberFormat="1" applyFont="1" applyBorder="1"/>
    <xf numFmtId="0" fontId="27" fillId="0" borderId="16" xfId="0" applyFont="1" applyBorder="1" applyAlignment="1">
      <alignment horizontal="center"/>
    </xf>
    <xf numFmtId="0" fontId="15" fillId="2" borderId="5" xfId="0" applyFont="1" applyFill="1" applyBorder="1" applyAlignment="1">
      <alignment horizontal="center"/>
    </xf>
    <xf numFmtId="0" fontId="15" fillId="2" borderId="0" xfId="0" applyFont="1" applyFill="1" applyAlignment="1">
      <alignment horizontal="center"/>
    </xf>
    <xf numFmtId="0" fontId="15" fillId="2" borderId="6" xfId="0" applyFont="1" applyFill="1" applyBorder="1" applyAlignment="1">
      <alignment horizontal="center"/>
    </xf>
    <xf numFmtId="0" fontId="18" fillId="0" borderId="5" xfId="0" applyFont="1" applyBorder="1"/>
    <xf numFmtId="166" fontId="18" fillId="0" borderId="6" xfId="1" applyNumberFormat="1" applyFont="1" applyBorder="1"/>
    <xf numFmtId="166" fontId="18" fillId="0" borderId="13" xfId="0" applyNumberFormat="1" applyFont="1" applyBorder="1"/>
    <xf numFmtId="166" fontId="18" fillId="0" borderId="2" xfId="0" applyNumberFormat="1" applyFont="1" applyBorder="1"/>
    <xf numFmtId="166" fontId="18" fillId="0" borderId="6" xfId="0" applyNumberFormat="1" applyFont="1" applyBorder="1"/>
    <xf numFmtId="166" fontId="18" fillId="0" borderId="5" xfId="0" applyNumberFormat="1" applyFont="1" applyBorder="1"/>
    <xf numFmtId="166" fontId="18" fillId="0" borderId="14" xfId="0" applyNumberFormat="1" applyFont="1" applyBorder="1"/>
    <xf numFmtId="166" fontId="18" fillId="0" borderId="16" xfId="1" applyNumberFormat="1" applyFont="1" applyBorder="1"/>
    <xf numFmtId="0" fontId="20" fillId="2" borderId="8" xfId="0" applyFont="1" applyFill="1" applyBorder="1"/>
    <xf numFmtId="166" fontId="20" fillId="2" borderId="8" xfId="0" applyNumberFormat="1" applyFont="1" applyFill="1" applyBorder="1"/>
    <xf numFmtId="9" fontId="20" fillId="2" borderId="8" xfId="2" applyFont="1" applyFill="1" applyBorder="1"/>
    <xf numFmtId="9" fontId="20" fillId="2" borderId="9" xfId="2" applyFont="1" applyFill="1" applyBorder="1" applyAlignment="1">
      <alignment horizontal="center"/>
    </xf>
    <xf numFmtId="166" fontId="15" fillId="2" borderId="6" xfId="1" applyNumberFormat="1" applyFont="1" applyFill="1" applyBorder="1"/>
    <xf numFmtId="166" fontId="20" fillId="2" borderId="0" xfId="0" applyNumberFormat="1" applyFont="1" applyFill="1"/>
    <xf numFmtId="167" fontId="20" fillId="2" borderId="0" xfId="2" applyNumberFormat="1" applyFont="1" applyFill="1" applyBorder="1"/>
    <xf numFmtId="9" fontId="20" fillId="2" borderId="0" xfId="2" applyFont="1" applyFill="1" applyBorder="1" applyAlignment="1">
      <alignment horizontal="center"/>
    </xf>
    <xf numFmtId="0" fontId="15" fillId="2" borderId="10" xfId="0" applyFont="1" applyFill="1" applyBorder="1"/>
    <xf numFmtId="166" fontId="18" fillId="0" borderId="1" xfId="0" applyNumberFormat="1" applyFont="1" applyBorder="1"/>
    <xf numFmtId="166" fontId="18" fillId="0" borderId="10" xfId="0" applyNumberFormat="1" applyFont="1" applyBorder="1"/>
    <xf numFmtId="166" fontId="18" fillId="0" borderId="11" xfId="0" applyNumberFormat="1" applyFont="1" applyBorder="1"/>
    <xf numFmtId="166" fontId="18" fillId="0" borderId="12" xfId="0" applyNumberFormat="1" applyFont="1" applyBorder="1"/>
    <xf numFmtId="0" fontId="18" fillId="0" borderId="7" xfId="0" applyFont="1" applyBorder="1"/>
    <xf numFmtId="9" fontId="18" fillId="0" borderId="9" xfId="2" applyFont="1" applyBorder="1"/>
    <xf numFmtId="0" fontId="18" fillId="0" borderId="10" xfId="0" applyFont="1" applyBorder="1"/>
    <xf numFmtId="0" fontId="18" fillId="0" borderId="12" xfId="0" applyFont="1" applyBorder="1"/>
    <xf numFmtId="0" fontId="15" fillId="2" borderId="10" xfId="0" applyFont="1" applyFill="1" applyBorder="1" applyAlignment="1">
      <alignment horizontal="center"/>
    </xf>
    <xf numFmtId="0" fontId="20" fillId="2" borderId="13" xfId="0" applyFont="1" applyFill="1" applyBorder="1" applyAlignment="1">
      <alignment horizontal="center"/>
    </xf>
    <xf numFmtId="0" fontId="20" fillId="2" borderId="3" xfId="0" applyFont="1" applyFill="1" applyBorder="1" applyAlignment="1">
      <alignment horizontal="center"/>
    </xf>
    <xf numFmtId="0" fontId="20" fillId="2" borderId="4" xfId="0" applyFont="1" applyFill="1" applyBorder="1" applyAlignment="1">
      <alignment horizontal="center"/>
    </xf>
    <xf numFmtId="0" fontId="20" fillId="2" borderId="10" xfId="0" applyFont="1" applyFill="1" applyBorder="1" applyAlignment="1">
      <alignment horizontal="center" vertical="center"/>
    </xf>
    <xf numFmtId="9" fontId="20" fillId="2" borderId="8" xfId="0" applyNumberFormat="1" applyFont="1" applyFill="1" applyBorder="1" applyAlignment="1">
      <alignment horizontal="center"/>
    </xf>
    <xf numFmtId="166" fontId="20" fillId="2" borderId="12" xfId="0" applyNumberFormat="1" applyFont="1" applyFill="1" applyBorder="1"/>
    <xf numFmtId="166" fontId="20" fillId="2" borderId="14" xfId="1" applyNumberFormat="1" applyFont="1" applyFill="1" applyBorder="1" applyAlignment="1">
      <alignment horizontal="center"/>
    </xf>
    <xf numFmtId="0" fontId="20" fillId="2" borderId="5" xfId="0" applyFont="1" applyFill="1" applyBorder="1" applyAlignment="1">
      <alignment horizontal="center"/>
    </xf>
    <xf numFmtId="166" fontId="20" fillId="2" borderId="6" xfId="1" applyNumberFormat="1" applyFont="1" applyFill="1" applyBorder="1"/>
    <xf numFmtId="166" fontId="15" fillId="2" borderId="6" xfId="0" applyNumberFormat="1" applyFont="1" applyFill="1" applyBorder="1"/>
    <xf numFmtId="9" fontId="20" fillId="2" borderId="14" xfId="0" applyNumberFormat="1" applyFont="1" applyFill="1" applyBorder="1" applyAlignment="1">
      <alignment horizontal="center"/>
    </xf>
    <xf numFmtId="166" fontId="20" fillId="2" borderId="14" xfId="1" applyNumberFormat="1" applyFont="1" applyFill="1" applyBorder="1"/>
    <xf numFmtId="0" fontId="18" fillId="0" borderId="5" xfId="0" applyFont="1" applyBorder="1" applyAlignment="1">
      <alignment horizontal="center" vertical="center"/>
    </xf>
    <xf numFmtId="167" fontId="18" fillId="0" borderId="0" xfId="2" applyNumberFormat="1" applyFont="1" applyBorder="1"/>
    <xf numFmtId="169" fontId="18" fillId="0" borderId="14" xfId="0" applyNumberFormat="1" applyFont="1" applyBorder="1"/>
    <xf numFmtId="166" fontId="18" fillId="0" borderId="6" xfId="1" applyNumberFormat="1" applyFont="1" applyBorder="1" applyAlignment="1">
      <alignment horizontal="center"/>
    </xf>
    <xf numFmtId="9" fontId="18" fillId="0" borderId="14" xfId="2" applyFont="1" applyBorder="1" applyAlignment="1">
      <alignment horizontal="center"/>
    </xf>
    <xf numFmtId="165" fontId="18" fillId="0" borderId="14" xfId="0" applyNumberFormat="1" applyFont="1" applyBorder="1"/>
    <xf numFmtId="165" fontId="18" fillId="0" borderId="6" xfId="0" applyNumberFormat="1" applyFont="1" applyBorder="1"/>
    <xf numFmtId="0" fontId="18" fillId="0" borderId="6" xfId="0" applyFont="1" applyBorder="1"/>
    <xf numFmtId="0" fontId="18" fillId="0" borderId="14" xfId="0" applyFont="1" applyBorder="1"/>
    <xf numFmtId="0" fontId="20" fillId="2" borderId="5" xfId="0" applyFont="1" applyFill="1" applyBorder="1" applyAlignment="1">
      <alignment horizontal="center" vertical="center"/>
    </xf>
    <xf numFmtId="166" fontId="20" fillId="2" borderId="6" xfId="0" applyNumberFormat="1" applyFont="1" applyFill="1" applyBorder="1"/>
    <xf numFmtId="166" fontId="24" fillId="3" borderId="14" xfId="1" applyNumberFormat="1" applyFont="1" applyFill="1" applyBorder="1"/>
    <xf numFmtId="0" fontId="20" fillId="0" borderId="6" xfId="0" applyFont="1" applyBorder="1"/>
    <xf numFmtId="0" fontId="20" fillId="2" borderId="2" xfId="0" applyFont="1" applyFill="1" applyBorder="1" applyAlignment="1">
      <alignment horizontal="center" vertical="center"/>
    </xf>
    <xf numFmtId="166" fontId="20" fillId="2" borderId="3" xfId="1" applyNumberFormat="1" applyFont="1" applyFill="1" applyBorder="1"/>
    <xf numFmtId="9" fontId="20" fillId="2" borderId="3" xfId="0" applyNumberFormat="1" applyFont="1" applyFill="1" applyBorder="1" applyAlignment="1">
      <alignment horizontal="center"/>
    </xf>
    <xf numFmtId="166" fontId="20" fillId="2" borderId="4" xfId="0" applyNumberFormat="1" applyFont="1" applyFill="1" applyBorder="1"/>
    <xf numFmtId="168" fontId="18" fillId="0" borderId="14" xfId="0" applyNumberFormat="1" applyFont="1" applyBorder="1"/>
    <xf numFmtId="168" fontId="18" fillId="0" borderId="0" xfId="0" applyNumberFormat="1" applyFont="1"/>
    <xf numFmtId="0" fontId="20" fillId="2" borderId="7" xfId="0" applyFont="1" applyFill="1" applyBorder="1" applyAlignment="1">
      <alignment horizontal="center"/>
    </xf>
    <xf numFmtId="0" fontId="18" fillId="2" borderId="8" xfId="0" applyFont="1" applyFill="1" applyBorder="1"/>
    <xf numFmtId="166" fontId="20" fillId="2" borderId="9" xfId="0" applyNumberFormat="1" applyFont="1" applyFill="1" applyBorder="1"/>
    <xf numFmtId="166" fontId="20" fillId="2" borderId="15" xfId="0" applyNumberFormat="1" applyFont="1" applyFill="1" applyBorder="1"/>
    <xf numFmtId="0" fontId="15" fillId="2" borderId="18" xfId="0" applyFont="1" applyFill="1" applyBorder="1"/>
    <xf numFmtId="0" fontId="15" fillId="2" borderId="19" xfId="0" applyFont="1" applyFill="1" applyBorder="1"/>
    <xf numFmtId="0" fontId="18" fillId="0" borderId="20" xfId="0" applyFont="1" applyBorder="1"/>
    <xf numFmtId="166" fontId="18" fillId="0" borderId="21" xfId="1" applyNumberFormat="1" applyFont="1" applyBorder="1"/>
    <xf numFmtId="0" fontId="18" fillId="0" borderId="34" xfId="0" applyFont="1" applyBorder="1"/>
    <xf numFmtId="0" fontId="18" fillId="0" borderId="35" xfId="0" applyFont="1" applyBorder="1"/>
    <xf numFmtId="166" fontId="20" fillId="2" borderId="21" xfId="1" applyNumberFormat="1" applyFont="1" applyFill="1" applyBorder="1"/>
    <xf numFmtId="0" fontId="18" fillId="0" borderId="31" xfId="0" applyFont="1" applyBorder="1" applyAlignment="1">
      <alignment horizontal="center" vertical="center" wrapText="1"/>
    </xf>
    <xf numFmtId="9" fontId="18" fillId="0" borderId="32" xfId="2" applyFont="1" applyBorder="1" applyAlignment="1">
      <alignment horizontal="center" vertical="center"/>
    </xf>
    <xf numFmtId="0" fontId="18" fillId="0" borderId="33" xfId="0" applyFont="1" applyBorder="1"/>
    <xf numFmtId="0" fontId="18" fillId="0" borderId="22" xfId="0" applyFont="1" applyBorder="1" applyAlignment="1">
      <alignment wrapText="1"/>
    </xf>
    <xf numFmtId="166" fontId="20" fillId="2" borderId="8" xfId="0" applyNumberFormat="1" applyFont="1" applyFill="1" applyBorder="1" applyAlignment="1">
      <alignment vertical="center"/>
    </xf>
    <xf numFmtId="168" fontId="15" fillId="2" borderId="0" xfId="0" applyNumberFormat="1" applyFont="1" applyFill="1"/>
    <xf numFmtId="0" fontId="15" fillId="2" borderId="36" xfId="0" applyFont="1" applyFill="1" applyBorder="1" applyAlignment="1">
      <alignment horizontal="center"/>
    </xf>
    <xf numFmtId="0" fontId="15" fillId="2" borderId="37" xfId="0" applyFont="1" applyFill="1" applyBorder="1" applyAlignment="1">
      <alignment horizontal="center"/>
    </xf>
    <xf numFmtId="0" fontId="15" fillId="2" borderId="38" xfId="0" applyFont="1" applyFill="1" applyBorder="1" applyAlignment="1">
      <alignment horizontal="center"/>
    </xf>
    <xf numFmtId="0" fontId="15" fillId="2" borderId="13" xfId="0" applyFont="1" applyFill="1" applyBorder="1" applyAlignment="1">
      <alignment horizontal="center"/>
    </xf>
    <xf numFmtId="0" fontId="18" fillId="0" borderId="40" xfId="0" applyFont="1" applyBorder="1" applyAlignment="1">
      <alignment horizontal="center"/>
    </xf>
    <xf numFmtId="9" fontId="18" fillId="0" borderId="16" xfId="2" applyFont="1" applyBorder="1" applyAlignment="1">
      <alignment horizontal="center"/>
    </xf>
    <xf numFmtId="166" fontId="24" fillId="3" borderId="16" xfId="0" applyNumberFormat="1" applyFont="1" applyFill="1" applyBorder="1" applyAlignment="1">
      <alignment horizontal="center"/>
    </xf>
    <xf numFmtId="166" fontId="18" fillId="0" borderId="16" xfId="0" applyNumberFormat="1" applyFont="1" applyBorder="1" applyAlignment="1">
      <alignment horizontal="center"/>
    </xf>
    <xf numFmtId="0" fontId="20" fillId="2" borderId="14" xfId="0" applyFont="1" applyFill="1" applyBorder="1"/>
    <xf numFmtId="0" fontId="20" fillId="2" borderId="13" xfId="0" applyFont="1" applyFill="1" applyBorder="1"/>
    <xf numFmtId="9" fontId="15" fillId="2" borderId="6" xfId="2" applyFont="1" applyFill="1" applyBorder="1"/>
    <xf numFmtId="166" fontId="15" fillId="2" borderId="14" xfId="0" applyNumberFormat="1" applyFont="1" applyFill="1" applyBorder="1"/>
    <xf numFmtId="9" fontId="20" fillId="2" borderId="14" xfId="2" applyFont="1" applyFill="1" applyBorder="1"/>
    <xf numFmtId="0" fontId="18" fillId="0" borderId="42" xfId="0" applyFont="1" applyBorder="1" applyAlignment="1">
      <alignment horizontal="center"/>
    </xf>
    <xf numFmtId="9" fontId="18" fillId="0" borderId="43" xfId="2" applyFont="1" applyBorder="1" applyAlignment="1">
      <alignment horizontal="center"/>
    </xf>
    <xf numFmtId="166" fontId="24" fillId="3" borderId="43" xfId="0" applyNumberFormat="1" applyFont="1" applyFill="1" applyBorder="1" applyAlignment="1">
      <alignment horizontal="center"/>
    </xf>
    <xf numFmtId="166" fontId="18" fillId="0" borderId="43" xfId="0" applyNumberFormat="1" applyFont="1" applyBorder="1" applyAlignment="1">
      <alignment horizontal="center"/>
    </xf>
    <xf numFmtId="166" fontId="18" fillId="0" borderId="43" xfId="1" applyNumberFormat="1" applyFont="1" applyBorder="1"/>
    <xf numFmtId="9" fontId="15" fillId="2" borderId="11" xfId="0" applyNumberFormat="1" applyFont="1" applyFill="1" applyBorder="1" applyAlignment="1">
      <alignment horizontal="center"/>
    </xf>
    <xf numFmtId="166" fontId="15" fillId="2" borderId="11" xfId="0" applyNumberFormat="1" applyFont="1" applyFill="1" applyBorder="1"/>
    <xf numFmtId="9" fontId="15" fillId="2" borderId="12" xfId="0" applyNumberFormat="1" applyFont="1" applyFill="1" applyBorder="1"/>
    <xf numFmtId="166" fontId="15" fillId="2" borderId="1" xfId="0" applyNumberFormat="1" applyFont="1" applyFill="1" applyBorder="1"/>
    <xf numFmtId="0" fontId="20" fillId="2" borderId="1" xfId="0" applyFont="1" applyFill="1" applyBorder="1"/>
    <xf numFmtId="0" fontId="18" fillId="0" borderId="18" xfId="0" applyFont="1" applyBorder="1"/>
    <xf numFmtId="0" fontId="18" fillId="0" borderId="19" xfId="0" applyFont="1" applyBorder="1"/>
    <xf numFmtId="0" fontId="18" fillId="0" borderId="21" xfId="0" applyFont="1" applyBorder="1"/>
    <xf numFmtId="0" fontId="18" fillId="0" borderId="24" xfId="0" applyFont="1" applyBorder="1" applyAlignment="1">
      <alignment vertical="center"/>
    </xf>
    <xf numFmtId="0" fontId="20" fillId="2" borderId="26" xfId="0" applyFont="1" applyFill="1" applyBorder="1" applyAlignment="1">
      <alignment horizontal="center" vertical="center"/>
    </xf>
    <xf numFmtId="0" fontId="20" fillId="2" borderId="26" xfId="0" applyFont="1" applyFill="1" applyBorder="1" applyAlignment="1">
      <alignment vertical="center" wrapText="1"/>
    </xf>
    <xf numFmtId="0" fontId="20" fillId="2" borderId="26" xfId="0" applyFont="1" applyFill="1" applyBorder="1" applyAlignment="1">
      <alignment horizontal="center" vertical="center" wrapText="1"/>
    </xf>
    <xf numFmtId="0" fontId="20" fillId="2" borderId="27" xfId="0" applyFont="1" applyFill="1" applyBorder="1" applyAlignment="1">
      <alignment horizontal="center" vertical="center" wrapText="1"/>
    </xf>
    <xf numFmtId="0" fontId="18" fillId="0" borderId="21" xfId="0" applyFont="1" applyBorder="1" applyAlignment="1">
      <alignment horizontal="center"/>
    </xf>
    <xf numFmtId="0" fontId="18" fillId="0" borderId="0" xfId="0" applyFont="1" applyAlignment="1">
      <alignment horizontal="center"/>
    </xf>
    <xf numFmtId="0" fontId="18" fillId="0" borderId="22" xfId="0" applyFont="1" applyBorder="1" applyAlignment="1">
      <alignment horizontal="center"/>
    </xf>
    <xf numFmtId="0" fontId="18" fillId="0" borderId="24" xfId="0" applyFont="1" applyBorder="1" applyAlignment="1">
      <alignment horizontal="center"/>
    </xf>
    <xf numFmtId="0" fontId="18" fillId="0" borderId="23" xfId="0" applyFont="1" applyBorder="1" applyAlignment="1">
      <alignment horizontal="center"/>
    </xf>
    <xf numFmtId="0" fontId="18" fillId="0" borderId="0" xfId="0" applyFont="1" applyAlignment="1">
      <alignment wrapText="1"/>
    </xf>
    <xf numFmtId="0" fontId="18" fillId="0" borderId="28" xfId="0" applyFont="1" applyBorder="1" applyAlignment="1">
      <alignment horizontal="center"/>
    </xf>
    <xf numFmtId="0" fontId="18" fillId="0" borderId="29" xfId="0" applyFont="1" applyBorder="1" applyAlignment="1">
      <alignment horizontal="center"/>
    </xf>
    <xf numFmtId="0" fontId="18" fillId="0" borderId="30" xfId="0" applyFont="1" applyBorder="1" applyAlignment="1">
      <alignment horizontal="center"/>
    </xf>
    <xf numFmtId="0" fontId="18" fillId="0" borderId="17" xfId="0" applyFont="1" applyBorder="1" applyAlignment="1">
      <alignment horizontal="center"/>
    </xf>
    <xf numFmtId="0" fontId="18" fillId="0" borderId="25" xfId="0" applyFont="1" applyBorder="1"/>
    <xf numFmtId="0" fontId="18" fillId="0" borderId="26" xfId="0" applyFont="1" applyBorder="1"/>
    <xf numFmtId="0" fontId="18" fillId="0" borderId="27" xfId="0" applyFont="1" applyBorder="1"/>
    <xf numFmtId="0" fontId="20" fillId="0" borderId="0" xfId="0" applyFont="1"/>
    <xf numFmtId="0" fontId="30" fillId="0" borderId="0" xfId="0" applyFont="1"/>
    <xf numFmtId="0" fontId="20" fillId="2" borderId="25" xfId="0" applyFont="1" applyFill="1" applyBorder="1" applyAlignment="1">
      <alignment horizontal="center"/>
    </xf>
    <xf numFmtId="0" fontId="20" fillId="2" borderId="27" xfId="0" applyFont="1" applyFill="1" applyBorder="1" applyAlignment="1">
      <alignment horizontal="center"/>
    </xf>
    <xf numFmtId="0" fontId="24" fillId="3" borderId="25" xfId="0" applyFont="1" applyFill="1" applyBorder="1" applyAlignment="1">
      <alignment horizontal="center" vertical="center"/>
    </xf>
    <xf numFmtId="0" fontId="24" fillId="3" borderId="27" xfId="0" applyFont="1" applyFill="1" applyBorder="1" applyAlignment="1">
      <alignment vertical="center"/>
    </xf>
    <xf numFmtId="0" fontId="24" fillId="3" borderId="26" xfId="0" applyFont="1" applyFill="1" applyBorder="1" applyAlignment="1">
      <alignment horizontal="center" vertical="center"/>
    </xf>
    <xf numFmtId="0" fontId="24" fillId="3" borderId="26" xfId="0" applyFont="1" applyFill="1" applyBorder="1" applyAlignment="1">
      <alignment horizontal="center" vertical="center" wrapText="1"/>
    </xf>
    <xf numFmtId="0" fontId="24" fillId="3" borderId="26" xfId="0" applyFont="1" applyFill="1" applyBorder="1" applyAlignment="1">
      <alignment vertical="center" wrapText="1"/>
    </xf>
    <xf numFmtId="0" fontId="24" fillId="3" borderId="27" xfId="0" applyFont="1" applyFill="1" applyBorder="1" applyAlignment="1">
      <alignment horizontal="center" vertical="center" wrapText="1"/>
    </xf>
    <xf numFmtId="0" fontId="24" fillId="3" borderId="0" xfId="0" applyFont="1" applyFill="1"/>
    <xf numFmtId="0" fontId="25" fillId="2" borderId="2" xfId="0" applyFont="1" applyFill="1" applyBorder="1"/>
    <xf numFmtId="0" fontId="22" fillId="2" borderId="3" xfId="0" applyFont="1" applyFill="1" applyBorder="1"/>
    <xf numFmtId="0" fontId="21" fillId="2" borderId="3" xfId="0" applyFont="1" applyFill="1" applyBorder="1" applyAlignment="1">
      <alignment horizontal="center"/>
    </xf>
    <xf numFmtId="0" fontId="25" fillId="2" borderId="40" xfId="4" applyFont="1" applyFill="1" applyBorder="1" applyAlignment="1">
      <alignment horizontal="center" vertical="center"/>
    </xf>
    <xf numFmtId="0" fontId="25" fillId="2" borderId="16" xfId="4" applyFont="1" applyFill="1" applyBorder="1" applyAlignment="1">
      <alignment horizontal="center" vertical="center"/>
    </xf>
    <xf numFmtId="0" fontId="25" fillId="2" borderId="45" xfId="4" applyFont="1" applyFill="1" applyBorder="1" applyAlignment="1">
      <alignment horizontal="center" vertical="center"/>
    </xf>
    <xf numFmtId="0" fontId="22" fillId="0" borderId="40" xfId="4" applyFont="1" applyBorder="1" applyAlignment="1">
      <alignment horizontal="center" vertical="center"/>
    </xf>
    <xf numFmtId="166" fontId="31" fillId="0" borderId="16" xfId="1" applyNumberFormat="1" applyFont="1" applyBorder="1" applyAlignment="1">
      <alignment vertical="center"/>
    </xf>
    <xf numFmtId="0" fontId="22" fillId="0" borderId="16" xfId="4" applyFont="1" applyBorder="1" applyAlignment="1">
      <alignment horizontal="center" vertical="center"/>
    </xf>
    <xf numFmtId="0" fontId="22" fillId="3" borderId="16" xfId="4" applyFont="1" applyFill="1" applyBorder="1" applyAlignment="1">
      <alignment horizontal="center" vertical="center"/>
    </xf>
    <xf numFmtId="0" fontId="22" fillId="3" borderId="45" xfId="4" applyFont="1" applyFill="1" applyBorder="1" applyAlignment="1">
      <alignment horizontal="center" vertical="center"/>
    </xf>
    <xf numFmtId="166" fontId="31" fillId="3" borderId="16" xfId="1" applyNumberFormat="1" applyFont="1" applyFill="1" applyBorder="1" applyAlignment="1">
      <alignment vertical="center"/>
    </xf>
    <xf numFmtId="0" fontId="22" fillId="0" borderId="46" xfId="4" applyFont="1" applyBorder="1" applyAlignment="1">
      <alignment horizontal="center" vertical="center"/>
    </xf>
    <xf numFmtId="166" fontId="31" fillId="0" borderId="47" xfId="1" applyNumberFormat="1" applyFont="1" applyBorder="1" applyAlignment="1">
      <alignment vertical="center"/>
    </xf>
    <xf numFmtId="0" fontId="22" fillId="0" borderId="47" xfId="4" applyFont="1" applyBorder="1" applyAlignment="1">
      <alignment horizontal="center" vertical="center"/>
    </xf>
    <xf numFmtId="0" fontId="22" fillId="3" borderId="47" xfId="4" applyFont="1" applyFill="1" applyBorder="1" applyAlignment="1">
      <alignment horizontal="center" vertical="center"/>
    </xf>
    <xf numFmtId="0" fontId="22" fillId="3" borderId="48" xfId="4" applyFont="1" applyFill="1" applyBorder="1" applyAlignment="1">
      <alignment horizontal="center" vertical="center"/>
    </xf>
    <xf numFmtId="0" fontId="22" fillId="0" borderId="0" xfId="4" applyFont="1" applyAlignment="1">
      <alignment horizontal="center" vertical="center"/>
    </xf>
    <xf numFmtId="0" fontId="32" fillId="0" borderId="0" xfId="4" applyFont="1">
      <alignment vertical="center"/>
    </xf>
    <xf numFmtId="0" fontId="25" fillId="2" borderId="2" xfId="4" applyFont="1" applyFill="1" applyBorder="1" applyAlignment="1">
      <alignment horizontal="center" vertical="center"/>
    </xf>
    <xf numFmtId="0" fontId="22" fillId="2" borderId="3" xfId="4" applyFont="1" applyFill="1" applyBorder="1">
      <alignment vertical="center"/>
    </xf>
    <xf numFmtId="170" fontId="21" fillId="2" borderId="3" xfId="1" applyNumberFormat="1" applyFont="1" applyFill="1" applyBorder="1" applyAlignment="1">
      <alignment horizontal="center" vertical="center"/>
    </xf>
    <xf numFmtId="170" fontId="21" fillId="2" borderId="4" xfId="1" applyNumberFormat="1" applyFont="1" applyFill="1" applyBorder="1" applyAlignment="1">
      <alignment horizontal="center" vertical="center"/>
    </xf>
    <xf numFmtId="0" fontId="22" fillId="0" borderId="0" xfId="0" applyFont="1" applyAlignment="1">
      <alignment horizontal="center"/>
    </xf>
    <xf numFmtId="0" fontId="22" fillId="0" borderId="16" xfId="4" applyFont="1" applyBorder="1">
      <alignment vertical="center"/>
    </xf>
    <xf numFmtId="0" fontId="12" fillId="3" borderId="16" xfId="4" applyFont="1" applyFill="1" applyBorder="1">
      <alignment vertical="center"/>
    </xf>
    <xf numFmtId="0" fontId="22" fillId="0" borderId="47" xfId="4" applyFont="1" applyBorder="1">
      <alignment vertical="center"/>
    </xf>
    <xf numFmtId="0" fontId="25" fillId="2" borderId="49" xfId="4" applyFont="1" applyFill="1" applyBorder="1">
      <alignment vertical="center"/>
    </xf>
    <xf numFmtId="0" fontId="25" fillId="2" borderId="50" xfId="4" applyFont="1" applyFill="1" applyBorder="1">
      <alignment vertical="center"/>
    </xf>
    <xf numFmtId="166" fontId="25" fillId="2" borderId="50" xfId="4" applyNumberFormat="1" applyFont="1" applyFill="1" applyBorder="1">
      <alignment vertical="center"/>
    </xf>
    <xf numFmtId="0" fontId="31" fillId="0" borderId="16" xfId="5" applyNumberFormat="1" applyFont="1" applyBorder="1" applyAlignment="1">
      <alignment horizontal="left" vertical="center"/>
    </xf>
    <xf numFmtId="166" fontId="33" fillId="0" borderId="16" xfId="5" applyNumberFormat="1" applyFont="1" applyBorder="1" applyAlignment="1">
      <alignment horizontal="center" vertical="center"/>
    </xf>
    <xf numFmtId="0" fontId="22" fillId="0" borderId="16" xfId="0" applyFont="1" applyBorder="1" applyAlignment="1">
      <alignment horizontal="left" vertical="center" wrapText="1"/>
    </xf>
    <xf numFmtId="0" fontId="22" fillId="0" borderId="16" xfId="0" applyFont="1" applyBorder="1" applyAlignment="1">
      <alignment horizontal="left" vertical="center"/>
    </xf>
    <xf numFmtId="0" fontId="22" fillId="0" borderId="47" xfId="0" applyFont="1" applyBorder="1" applyAlignment="1">
      <alignment horizontal="left" vertical="center" wrapText="1"/>
    </xf>
    <xf numFmtId="166" fontId="33" fillId="0" borderId="47" xfId="5" applyNumberFormat="1" applyFont="1" applyBorder="1" applyAlignment="1">
      <alignment horizontal="center" vertical="center"/>
    </xf>
    <xf numFmtId="0" fontId="22" fillId="2" borderId="2" xfId="0" applyFont="1" applyFill="1" applyBorder="1"/>
    <xf numFmtId="0" fontId="22" fillId="2" borderId="4" xfId="0" applyFont="1" applyFill="1" applyBorder="1"/>
    <xf numFmtId="0" fontId="22" fillId="0" borderId="2" xfId="0" applyFont="1" applyBorder="1" applyAlignment="1">
      <alignment horizontal="center"/>
    </xf>
    <xf numFmtId="0" fontId="34" fillId="0" borderId="37" xfId="5" applyNumberFormat="1" applyFont="1" applyBorder="1" applyAlignment="1">
      <alignment horizontal="left" vertical="center"/>
    </xf>
    <xf numFmtId="166" fontId="11" fillId="0" borderId="37" xfId="5" applyNumberFormat="1" applyFont="1" applyBorder="1" applyAlignment="1">
      <alignment horizontal="center" vertical="center"/>
    </xf>
    <xf numFmtId="0" fontId="12" fillId="3" borderId="37" xfId="4" applyFont="1" applyFill="1" applyBorder="1" applyAlignment="1">
      <alignment horizontal="center" vertical="center"/>
    </xf>
    <xf numFmtId="0" fontId="12" fillId="3" borderId="51" xfId="4" applyFont="1" applyFill="1" applyBorder="1" applyAlignment="1">
      <alignment horizontal="center" vertical="center"/>
    </xf>
    <xf numFmtId="166" fontId="11" fillId="3" borderId="0" xfId="5" applyNumberFormat="1" applyFont="1" applyFill="1" applyBorder="1" applyAlignment="1">
      <alignment horizontal="center" vertical="center"/>
    </xf>
    <xf numFmtId="0" fontId="22" fillId="0" borderId="5" xfId="0" applyFont="1" applyBorder="1" applyAlignment="1">
      <alignment horizontal="center"/>
    </xf>
    <xf numFmtId="0" fontId="34" fillId="0" borderId="16" xfId="5" applyNumberFormat="1" applyFont="1" applyBorder="1" applyAlignment="1">
      <alignment horizontal="left" vertical="center"/>
    </xf>
    <xf numFmtId="166" fontId="11" fillId="0" borderId="16" xfId="5" applyNumberFormat="1" applyFont="1" applyBorder="1" applyAlignment="1">
      <alignment horizontal="center" vertical="center"/>
    </xf>
    <xf numFmtId="0" fontId="12" fillId="3" borderId="16" xfId="4" applyFont="1" applyFill="1" applyBorder="1" applyAlignment="1">
      <alignment horizontal="center" vertical="center"/>
    </xf>
    <xf numFmtId="0" fontId="12" fillId="3" borderId="45" xfId="4" applyFont="1" applyFill="1" applyBorder="1" applyAlignment="1">
      <alignment horizontal="center" vertical="center"/>
    </xf>
    <xf numFmtId="166" fontId="12" fillId="0" borderId="16" xfId="5" applyNumberFormat="1" applyFont="1" applyBorder="1" applyAlignment="1">
      <alignment horizontal="center" vertical="center"/>
    </xf>
    <xf numFmtId="166" fontId="12" fillId="3" borderId="0" xfId="5" applyNumberFormat="1" applyFont="1" applyFill="1" applyBorder="1" applyAlignment="1">
      <alignment horizontal="center" vertical="center"/>
    </xf>
    <xf numFmtId="165" fontId="31" fillId="0" borderId="16" xfId="1" applyFont="1" applyBorder="1" applyAlignment="1">
      <alignment horizontal="left" vertical="center"/>
    </xf>
    <xf numFmtId="0" fontId="22" fillId="0" borderId="7" xfId="0" applyFont="1" applyBorder="1" applyAlignment="1">
      <alignment horizontal="center"/>
    </xf>
    <xf numFmtId="0" fontId="31" fillId="0" borderId="47" xfId="5" applyNumberFormat="1" applyFont="1" applyBorder="1" applyAlignment="1">
      <alignment horizontal="left" vertical="center"/>
    </xf>
    <xf numFmtId="166" fontId="12" fillId="0" borderId="47" xfId="5" applyNumberFormat="1" applyFont="1" applyBorder="1" applyAlignment="1">
      <alignment horizontal="center" vertical="center"/>
    </xf>
    <xf numFmtId="0" fontId="12" fillId="3" borderId="47" xfId="4" applyFont="1" applyFill="1" applyBorder="1" applyAlignment="1">
      <alignment horizontal="center" vertical="center"/>
    </xf>
    <xf numFmtId="0" fontId="12" fillId="3" borderId="48" xfId="4" applyFont="1" applyFill="1" applyBorder="1" applyAlignment="1">
      <alignment horizontal="center" vertical="center"/>
    </xf>
    <xf numFmtId="0" fontId="14" fillId="0" borderId="0" xfId="0" applyFont="1" applyAlignment="1">
      <alignment horizontal="left"/>
    </xf>
    <xf numFmtId="0" fontId="15" fillId="2" borderId="77" xfId="3" applyFont="1" applyFill="1" applyBorder="1" applyAlignment="1">
      <alignment horizontal="center" vertical="center"/>
    </xf>
    <xf numFmtId="9" fontId="15" fillId="2" borderId="78" xfId="2" applyFont="1" applyFill="1" applyBorder="1" applyAlignment="1">
      <alignment horizontal="center" vertical="center"/>
    </xf>
    <xf numFmtId="9" fontId="15" fillId="2" borderId="79" xfId="2" applyFont="1" applyFill="1" applyBorder="1" applyAlignment="1">
      <alignment horizontal="center" vertical="center" wrapText="1"/>
    </xf>
    <xf numFmtId="0" fontId="35" fillId="4" borderId="77" xfId="3" applyFont="1" applyFill="1" applyBorder="1" applyAlignment="1">
      <alignment vertical="center" wrapText="1"/>
    </xf>
    <xf numFmtId="0" fontId="12" fillId="0" borderId="78" xfId="3" quotePrefix="1" applyFont="1" applyBorder="1" applyAlignment="1">
      <alignment vertical="center" wrapText="1"/>
    </xf>
    <xf numFmtId="0" fontId="12" fillId="0" borderId="78" xfId="3" quotePrefix="1" applyFont="1" applyBorder="1" applyAlignment="1">
      <alignment horizontal="left" vertical="center" wrapText="1"/>
    </xf>
    <xf numFmtId="0" fontId="12" fillId="0" borderId="78" xfId="0" applyFont="1" applyBorder="1" applyAlignment="1">
      <alignment vertical="center" wrapText="1"/>
    </xf>
    <xf numFmtId="0" fontId="22" fillId="0" borderId="78" xfId="0" applyFont="1" applyBorder="1" applyAlignment="1">
      <alignment vertical="center" wrapText="1"/>
    </xf>
    <xf numFmtId="0" fontId="22" fillId="0" borderId="79" xfId="0" applyFont="1" applyBorder="1" applyAlignment="1">
      <alignment vertical="center" wrapText="1"/>
    </xf>
    <xf numFmtId="0" fontId="12" fillId="0" borderId="78" xfId="3" applyFont="1" applyBorder="1" applyAlignment="1">
      <alignment vertical="center" wrapText="1"/>
    </xf>
    <xf numFmtId="0" fontId="12" fillId="0" borderId="78" xfId="3" applyFont="1" applyBorder="1" applyAlignment="1">
      <alignment horizontal="left" vertical="center" wrapText="1"/>
    </xf>
    <xf numFmtId="0" fontId="14" fillId="0" borderId="78" xfId="0" applyFont="1" applyBorder="1" applyAlignment="1">
      <alignment vertical="center" wrapText="1"/>
    </xf>
    <xf numFmtId="0" fontId="12" fillId="0" borderId="78" xfId="0" applyFont="1" applyBorder="1" applyAlignment="1">
      <alignment wrapText="1"/>
    </xf>
    <xf numFmtId="0" fontId="22" fillId="0" borderId="78" xfId="0" applyFont="1" applyBorder="1" applyAlignment="1">
      <alignment wrapText="1"/>
    </xf>
    <xf numFmtId="0" fontId="22" fillId="0" borderId="79" xfId="0" applyFont="1" applyBorder="1" applyAlignment="1">
      <alignment vertical="center"/>
    </xf>
    <xf numFmtId="0" fontId="12" fillId="0" borderId="78" xfId="0" applyFont="1" applyBorder="1"/>
    <xf numFmtId="0" fontId="14" fillId="0" borderId="78" xfId="0" applyFont="1" applyBorder="1"/>
    <xf numFmtId="0" fontId="12" fillId="0" borderId="79" xfId="3" quotePrefix="1" applyFont="1" applyBorder="1" applyAlignment="1">
      <alignment vertical="center" wrapText="1"/>
    </xf>
    <xf numFmtId="0" fontId="12" fillId="0" borderId="79" xfId="3" applyFont="1" applyBorder="1" applyAlignment="1">
      <alignment vertical="center" wrapText="1"/>
    </xf>
    <xf numFmtId="0" fontId="12" fillId="0" borderId="78" xfId="0" applyFont="1" applyBorder="1" applyAlignment="1">
      <alignment horizontal="left"/>
    </xf>
    <xf numFmtId="0" fontId="22" fillId="0" borderId="79" xfId="0" applyFont="1" applyBorder="1"/>
    <xf numFmtId="0" fontId="14" fillId="0" borderId="77" xfId="0" applyFont="1" applyBorder="1"/>
    <xf numFmtId="0" fontId="14" fillId="0" borderId="78" xfId="0" applyFont="1" applyBorder="1" applyAlignment="1">
      <alignment horizontal="left"/>
    </xf>
    <xf numFmtId="0" fontId="14" fillId="0" borderId="79" xfId="0" applyFont="1" applyBorder="1"/>
    <xf numFmtId="0" fontId="12" fillId="0" borderId="78" xfId="3" applyFont="1" applyBorder="1" applyAlignment="1">
      <alignment horizontal="center" vertical="center" wrapText="1"/>
    </xf>
    <xf numFmtId="0" fontId="12" fillId="0" borderId="78" xfId="0" applyFont="1" applyBorder="1" applyAlignment="1">
      <alignment horizontal="center" vertical="center" wrapText="1"/>
    </xf>
    <xf numFmtId="0" fontId="14" fillId="0" borderId="78" xfId="0" applyFont="1" applyBorder="1" applyAlignment="1">
      <alignment horizontal="center" vertical="center" wrapText="1"/>
    </xf>
    <xf numFmtId="0" fontId="22" fillId="0" borderId="79" xfId="0" applyFont="1" applyBorder="1" applyAlignment="1">
      <alignment horizontal="center" vertical="center" wrapText="1"/>
    </xf>
    <xf numFmtId="0" fontId="12" fillId="0" borderId="78" xfId="0" quotePrefix="1" applyFont="1" applyBorder="1" applyAlignment="1">
      <alignment vertical="center" wrapText="1"/>
    </xf>
    <xf numFmtId="0" fontId="12" fillId="0" borderId="79" xfId="0" quotePrefix="1" applyFont="1" applyBorder="1" applyAlignment="1">
      <alignment vertical="center" wrapText="1"/>
    </xf>
    <xf numFmtId="0" fontId="12" fillId="0" borderId="78" xfId="3" quotePrefix="1" applyFont="1" applyBorder="1" applyAlignment="1">
      <alignment horizontal="center" vertical="center" wrapText="1"/>
    </xf>
    <xf numFmtId="0" fontId="12" fillId="0" borderId="79" xfId="3" quotePrefix="1" applyFont="1" applyBorder="1" applyAlignment="1">
      <alignment horizontal="center" vertical="center" wrapText="1"/>
    </xf>
    <xf numFmtId="0" fontId="35" fillId="4" borderId="80" xfId="3" applyFont="1" applyFill="1" applyBorder="1" applyAlignment="1">
      <alignment vertical="center" wrapText="1"/>
    </xf>
    <xf numFmtId="0" fontId="12" fillId="0" borderId="81" xfId="3" quotePrefix="1" applyFont="1" applyBorder="1" applyAlignment="1">
      <alignment vertical="center" wrapText="1"/>
    </xf>
    <xf numFmtId="0" fontId="12" fillId="0" borderId="81" xfId="3" applyFont="1" applyBorder="1" applyAlignment="1">
      <alignment vertical="center" wrapText="1"/>
    </xf>
    <xf numFmtId="0" fontId="12" fillId="0" borderId="81" xfId="0" applyFont="1" applyBorder="1" applyAlignment="1">
      <alignment vertical="center"/>
    </xf>
    <xf numFmtId="0" fontId="12" fillId="0" borderId="82" xfId="3" quotePrefix="1" applyFont="1" applyBorder="1" applyAlignment="1">
      <alignment vertical="center" wrapText="1"/>
    </xf>
    <xf numFmtId="0" fontId="18" fillId="0" borderId="0" xfId="0" applyFont="1" applyAlignment="1">
      <alignment horizontal="center" vertical="center"/>
    </xf>
    <xf numFmtId="0" fontId="15" fillId="2" borderId="4" xfId="0" applyFont="1" applyFill="1" applyBorder="1" applyAlignment="1">
      <alignment horizontal="center" vertical="center"/>
    </xf>
    <xf numFmtId="0" fontId="15" fillId="2" borderId="2" xfId="0" applyFont="1" applyFill="1" applyBorder="1" applyAlignment="1">
      <alignment horizontal="center" vertical="center"/>
    </xf>
    <xf numFmtId="0" fontId="15" fillId="2" borderId="83" xfId="0" applyFont="1" applyFill="1" applyBorder="1" applyAlignment="1">
      <alignment horizontal="center" vertical="center"/>
    </xf>
    <xf numFmtId="0" fontId="15" fillId="2" borderId="84" xfId="0" applyFont="1" applyFill="1" applyBorder="1" applyAlignment="1">
      <alignment horizontal="center" vertical="center"/>
    </xf>
    <xf numFmtId="0" fontId="15" fillId="2" borderId="85" xfId="0" applyFont="1" applyFill="1" applyBorder="1" applyAlignment="1">
      <alignment horizontal="center" vertical="center"/>
    </xf>
    <xf numFmtId="0" fontId="18" fillId="0" borderId="86" xfId="0" applyFont="1" applyBorder="1" applyAlignment="1">
      <alignment horizontal="center" vertical="center" wrapText="1"/>
    </xf>
    <xf numFmtId="166" fontId="18" fillId="0" borderId="87" xfId="1" applyNumberFormat="1" applyFont="1" applyBorder="1" applyAlignment="1">
      <alignment horizontal="center" vertical="center"/>
    </xf>
    <xf numFmtId="9" fontId="18" fillId="0" borderId="87" xfId="2" applyFont="1" applyBorder="1" applyAlignment="1">
      <alignment horizontal="center" vertical="center"/>
    </xf>
    <xf numFmtId="0" fontId="18" fillId="0" borderId="87" xfId="0" applyFont="1" applyBorder="1" applyAlignment="1">
      <alignment vertical="center" wrapText="1"/>
    </xf>
    <xf numFmtId="0" fontId="18" fillId="0" borderId="87" xfId="0" quotePrefix="1" applyFont="1" applyBorder="1" applyAlignment="1">
      <alignment vertical="center" wrapText="1"/>
    </xf>
    <xf numFmtId="0" fontId="18" fillId="0" borderId="88" xfId="0" quotePrefix="1" applyFont="1" applyBorder="1" applyAlignment="1">
      <alignment vertical="center" wrapText="1"/>
    </xf>
    <xf numFmtId="0" fontId="18" fillId="0" borderId="87" xfId="0" quotePrefix="1" applyFont="1" applyBorder="1" applyAlignment="1">
      <alignment vertical="center"/>
    </xf>
    <xf numFmtId="0" fontId="18" fillId="0" borderId="88" xfId="0" applyFont="1" applyBorder="1" applyAlignment="1">
      <alignment vertical="center"/>
    </xf>
    <xf numFmtId="0" fontId="18" fillId="0" borderId="87" xfId="0" applyFont="1" applyBorder="1" applyAlignment="1">
      <alignment vertical="center"/>
    </xf>
    <xf numFmtId="0" fontId="15" fillId="2" borderId="89" xfId="0" applyFont="1" applyFill="1" applyBorder="1" applyAlignment="1">
      <alignment horizontal="center" vertical="center"/>
    </xf>
    <xf numFmtId="166" fontId="15" fillId="2" borderId="90" xfId="1" applyNumberFormat="1" applyFont="1" applyFill="1" applyBorder="1" applyAlignment="1">
      <alignment horizontal="center" vertical="center"/>
    </xf>
    <xf numFmtId="9" fontId="15" fillId="2" borderId="90" xfId="0" applyNumberFormat="1" applyFont="1" applyFill="1" applyBorder="1" applyAlignment="1">
      <alignment vertical="center"/>
    </xf>
    <xf numFmtId="0" fontId="18" fillId="2" borderId="90" xfId="0" applyFont="1" applyFill="1" applyBorder="1" applyAlignment="1">
      <alignment vertical="center"/>
    </xf>
    <xf numFmtId="0" fontId="18" fillId="2" borderId="91" xfId="0" applyFont="1" applyFill="1" applyBorder="1" applyAlignment="1">
      <alignment vertical="center"/>
    </xf>
    <xf numFmtId="167" fontId="18" fillId="0" borderId="87" xfId="2" applyNumberFormat="1" applyFont="1" applyBorder="1" applyAlignment="1">
      <alignment horizontal="center" vertical="center"/>
    </xf>
    <xf numFmtId="0" fontId="24" fillId="0" borderId="87" xfId="3" quotePrefix="1" applyFont="1" applyBorder="1" applyAlignment="1">
      <alignment horizontal="left" vertical="center" wrapText="1"/>
    </xf>
    <xf numFmtId="0" fontId="18" fillId="0" borderId="87" xfId="0" applyFont="1" applyBorder="1" applyAlignment="1">
      <alignment horizontal="center" vertical="center"/>
    </xf>
    <xf numFmtId="10" fontId="18" fillId="0" borderId="87" xfId="2" applyNumberFormat="1" applyFont="1" applyBorder="1" applyAlignment="1">
      <alignment horizontal="center" vertical="center"/>
    </xf>
    <xf numFmtId="0" fontId="23" fillId="3" borderId="0" xfId="0" applyFont="1" applyFill="1" applyAlignment="1">
      <alignment vertical="top"/>
    </xf>
    <xf numFmtId="0" fontId="6" fillId="3" borderId="0" xfId="0" applyFont="1" applyFill="1" applyAlignment="1">
      <alignment horizontal="center" vertical="center"/>
    </xf>
    <xf numFmtId="3" fontId="38" fillId="3" borderId="86" xfId="0" applyNumberFormat="1" applyFont="1" applyFill="1" applyBorder="1" applyAlignment="1">
      <alignment horizontal="center" vertical="center" wrapText="1"/>
    </xf>
    <xf numFmtId="3" fontId="38" fillId="3" borderId="87" xfId="0" applyNumberFormat="1" applyFont="1" applyFill="1" applyBorder="1" applyAlignment="1">
      <alignment horizontal="center" vertical="center" wrapText="1"/>
    </xf>
    <xf numFmtId="0" fontId="39" fillId="3" borderId="87" xfId="0" applyFont="1" applyFill="1" applyBorder="1" applyAlignment="1">
      <alignment horizontal="center"/>
    </xf>
    <xf numFmtId="0" fontId="39" fillId="3" borderId="88" xfId="0" applyFont="1" applyFill="1" applyBorder="1" applyAlignment="1">
      <alignment horizontal="center"/>
    </xf>
    <xf numFmtId="3" fontId="10" fillId="3" borderId="86" xfId="0" applyNumberFormat="1" applyFont="1" applyFill="1" applyBorder="1" applyAlignment="1">
      <alignment vertical="center" wrapText="1"/>
    </xf>
    <xf numFmtId="49" fontId="10" fillId="3" borderId="87" xfId="1" applyNumberFormat="1" applyFont="1" applyFill="1" applyBorder="1" applyAlignment="1">
      <alignment vertical="center" wrapText="1"/>
    </xf>
    <xf numFmtId="3" fontId="10" fillId="3" borderId="87" xfId="0" applyNumberFormat="1" applyFont="1" applyFill="1" applyBorder="1" applyAlignment="1">
      <alignment vertical="center" wrapText="1"/>
    </xf>
    <xf numFmtId="0" fontId="6" fillId="3" borderId="87" xfId="0" applyFont="1" applyFill="1" applyBorder="1" applyAlignment="1">
      <alignment vertical="center" wrapText="1"/>
    </xf>
    <xf numFmtId="3" fontId="10" fillId="3" borderId="88" xfId="0" applyNumberFormat="1" applyFont="1" applyFill="1" applyBorder="1" applyAlignment="1">
      <alignment vertical="center" wrapText="1"/>
    </xf>
    <xf numFmtId="3" fontId="10" fillId="3" borderId="86" xfId="0" applyNumberFormat="1" applyFont="1" applyFill="1" applyBorder="1" applyAlignment="1">
      <alignment horizontal="left" vertical="center" wrapText="1"/>
    </xf>
    <xf numFmtId="3" fontId="10" fillId="3" borderId="87" xfId="0" applyNumberFormat="1" applyFont="1" applyFill="1" applyBorder="1" applyAlignment="1">
      <alignment vertical="center"/>
    </xf>
    <xf numFmtId="3" fontId="10" fillId="3" borderId="88" xfId="0" applyNumberFormat="1" applyFont="1" applyFill="1" applyBorder="1" applyAlignment="1">
      <alignment vertical="center"/>
    </xf>
    <xf numFmtId="3" fontId="10" fillId="3" borderId="89" xfId="0" applyNumberFormat="1" applyFont="1" applyFill="1" applyBorder="1" applyAlignment="1">
      <alignment vertical="center" wrapText="1"/>
    </xf>
    <xf numFmtId="3" fontId="10" fillId="3" borderId="90" xfId="0" applyNumberFormat="1" applyFont="1" applyFill="1" applyBorder="1" applyAlignment="1">
      <alignment vertical="center" wrapText="1"/>
    </xf>
    <xf numFmtId="0" fontId="6" fillId="3" borderId="90" xfId="0" applyFont="1" applyFill="1" applyBorder="1" applyAlignment="1">
      <alignment vertical="center" wrapText="1"/>
    </xf>
    <xf numFmtId="3" fontId="10" fillId="3" borderId="91" xfId="0" applyNumberFormat="1" applyFont="1" applyFill="1" applyBorder="1" applyAlignment="1">
      <alignment vertical="center" wrapText="1"/>
    </xf>
    <xf numFmtId="0" fontId="18" fillId="0" borderId="2" xfId="0" applyFont="1" applyBorder="1"/>
    <xf numFmtId="166" fontId="18" fillId="0" borderId="4" xfId="1" applyNumberFormat="1" applyFont="1" applyBorder="1"/>
    <xf numFmtId="0" fontId="18" fillId="0" borderId="5" xfId="0" applyFont="1" applyBorder="1" applyAlignment="1">
      <alignment vertical="center"/>
    </xf>
    <xf numFmtId="166" fontId="18" fillId="0" borderId="6" xfId="1" applyNumberFormat="1" applyFont="1" applyBorder="1" applyAlignment="1">
      <alignment vertical="center"/>
    </xf>
    <xf numFmtId="0" fontId="15" fillId="2" borderId="0" xfId="0" applyFont="1" applyFill="1" applyAlignment="1">
      <alignment vertical="center"/>
    </xf>
    <xf numFmtId="0" fontId="18" fillId="2" borderId="0" xfId="0" applyFont="1" applyFill="1" applyAlignment="1">
      <alignment vertical="center"/>
    </xf>
    <xf numFmtId="0" fontId="18" fillId="0" borderId="0" xfId="0" applyFont="1" applyAlignment="1">
      <alignment vertical="center"/>
    </xf>
    <xf numFmtId="166" fontId="18" fillId="0" borderId="6" xfId="1" applyNumberFormat="1" applyFont="1" applyBorder="1" applyAlignment="1">
      <alignment horizontal="center" vertical="center"/>
    </xf>
    <xf numFmtId="0" fontId="20" fillId="2" borderId="10" xfId="0" applyFont="1" applyFill="1" applyBorder="1" applyAlignment="1">
      <alignment horizontal="center"/>
    </xf>
    <xf numFmtId="0" fontId="20" fillId="2" borderId="1" xfId="0" applyFont="1" applyFill="1" applyBorder="1" applyAlignment="1">
      <alignment horizontal="center"/>
    </xf>
    <xf numFmtId="0" fontId="20" fillId="2" borderId="0" xfId="0" applyFont="1" applyFill="1" applyAlignment="1">
      <alignment horizontal="center" vertical="center"/>
    </xf>
    <xf numFmtId="166" fontId="24" fillId="3" borderId="56" xfId="1" applyNumberFormat="1" applyFont="1" applyFill="1" applyBorder="1" applyAlignment="1">
      <alignment vertical="center"/>
    </xf>
    <xf numFmtId="166" fontId="18" fillId="0" borderId="14" xfId="1" applyNumberFormat="1" applyFont="1" applyBorder="1" applyAlignment="1">
      <alignment vertical="center"/>
    </xf>
    <xf numFmtId="0" fontId="18" fillId="0" borderId="16" xfId="0" applyFont="1" applyBorder="1" applyAlignment="1">
      <alignment horizontal="center" vertical="center"/>
    </xf>
    <xf numFmtId="0" fontId="18" fillId="0" borderId="16" xfId="0" applyFont="1" applyBorder="1" applyAlignment="1">
      <alignment vertical="center"/>
    </xf>
    <xf numFmtId="166" fontId="24" fillId="3" borderId="16" xfId="0" applyNumberFormat="1" applyFont="1" applyFill="1" applyBorder="1" applyAlignment="1">
      <alignment vertical="center"/>
    </xf>
    <xf numFmtId="9" fontId="18" fillId="0" borderId="16" xfId="0" applyNumberFormat="1" applyFont="1" applyBorder="1" applyAlignment="1">
      <alignment vertical="center"/>
    </xf>
    <xf numFmtId="166" fontId="18" fillId="0" borderId="16" xfId="0" applyNumberFormat="1" applyFont="1" applyBorder="1" applyAlignment="1">
      <alignment vertical="center"/>
    </xf>
    <xf numFmtId="0" fontId="27" fillId="0" borderId="16" xfId="0" applyFont="1" applyBorder="1" applyAlignment="1">
      <alignment horizontal="center" vertical="center"/>
    </xf>
    <xf numFmtId="0" fontId="20" fillId="2" borderId="0" xfId="0" applyFont="1" applyFill="1" applyAlignment="1">
      <alignment wrapText="1"/>
    </xf>
    <xf numFmtId="166" fontId="24" fillId="3" borderId="54" xfId="1" applyNumberFormat="1" applyFont="1" applyFill="1" applyBorder="1" applyAlignment="1">
      <alignment vertical="center"/>
    </xf>
    <xf numFmtId="10" fontId="18" fillId="0" borderId="16" xfId="0" applyNumberFormat="1" applyFont="1" applyBorder="1" applyAlignment="1">
      <alignment vertical="center"/>
    </xf>
    <xf numFmtId="0" fontId="20" fillId="2" borderId="52" xfId="0" applyFont="1" applyFill="1" applyBorder="1" applyAlignment="1">
      <alignment vertical="center"/>
    </xf>
    <xf numFmtId="166" fontId="18" fillId="0" borderId="9" xfId="1" applyNumberFormat="1" applyFont="1" applyBorder="1" applyAlignment="1">
      <alignment vertical="center"/>
    </xf>
    <xf numFmtId="166" fontId="24" fillId="3" borderId="55" xfId="1" applyNumberFormat="1" applyFont="1" applyFill="1" applyBorder="1" applyAlignment="1">
      <alignment vertical="center"/>
    </xf>
    <xf numFmtId="166" fontId="18" fillId="0" borderId="15" xfId="1" applyNumberFormat="1" applyFont="1" applyBorder="1" applyAlignment="1">
      <alignment vertical="center"/>
    </xf>
    <xf numFmtId="166" fontId="18" fillId="0" borderId="16" xfId="1" applyNumberFormat="1" applyFont="1" applyBorder="1" applyAlignment="1">
      <alignment vertical="center"/>
    </xf>
    <xf numFmtId="0" fontId="20" fillId="2" borderId="8" xfId="0" applyFont="1" applyFill="1" applyBorder="1" applyAlignment="1">
      <alignment vertical="center"/>
    </xf>
    <xf numFmtId="9" fontId="20" fillId="2" borderId="8" xfId="2" applyFont="1" applyFill="1" applyBorder="1" applyAlignment="1">
      <alignment vertical="center"/>
    </xf>
    <xf numFmtId="9" fontId="20" fillId="2" borderId="9" xfId="2" applyFont="1" applyFill="1" applyBorder="1" applyAlignment="1">
      <alignment horizontal="center" vertical="center"/>
    </xf>
    <xf numFmtId="0" fontId="20" fillId="2" borderId="0" xfId="0" applyFont="1" applyFill="1" applyAlignment="1">
      <alignment vertical="center"/>
    </xf>
    <xf numFmtId="166" fontId="20" fillId="2" borderId="0" xfId="0" applyNumberFormat="1" applyFont="1" applyFill="1" applyAlignment="1">
      <alignment vertical="center"/>
    </xf>
    <xf numFmtId="167" fontId="20" fillId="2" borderId="0" xfId="2" applyNumberFormat="1" applyFont="1" applyFill="1" applyBorder="1" applyAlignment="1">
      <alignment vertical="center"/>
    </xf>
    <xf numFmtId="9" fontId="20" fillId="2" borderId="0" xfId="2" applyFont="1" applyFill="1" applyBorder="1" applyAlignment="1">
      <alignment horizontal="center" vertical="center"/>
    </xf>
    <xf numFmtId="0" fontId="14" fillId="0" borderId="0" xfId="0" applyFont="1" applyAlignment="1">
      <alignment vertical="center"/>
    </xf>
    <xf numFmtId="0" fontId="24" fillId="3" borderId="78" xfId="7" applyFont="1" applyFill="1" applyBorder="1" applyAlignment="1">
      <alignment vertical="center" wrapText="1"/>
    </xf>
    <xf numFmtId="0" fontId="19" fillId="7" borderId="0" xfId="7" applyFont="1" applyAlignment="1">
      <alignment horizontal="center" vertical="center" wrapText="1"/>
    </xf>
    <xf numFmtId="0" fontId="42" fillId="7" borderId="57" xfId="7" applyFont="1" applyBorder="1" applyAlignment="1">
      <alignment horizontal="center" vertical="center" wrapText="1"/>
    </xf>
    <xf numFmtId="0" fontId="19" fillId="4" borderId="57" xfId="7" applyFont="1" applyFill="1" applyBorder="1" applyAlignment="1">
      <alignment horizontal="center" vertical="center" wrapText="1"/>
    </xf>
    <xf numFmtId="0" fontId="19" fillId="7" borderId="57" xfId="7" applyFont="1" applyBorder="1" applyAlignment="1">
      <alignment vertical="center"/>
    </xf>
    <xf numFmtId="0" fontId="19" fillId="7" borderId="57" xfId="7" applyFont="1" applyBorder="1" applyAlignment="1">
      <alignment horizontal="center" vertical="center" wrapText="1"/>
    </xf>
    <xf numFmtId="0" fontId="19" fillId="7" borderId="19" xfId="7" applyFont="1" applyBorder="1" applyAlignment="1">
      <alignment horizontal="center" vertical="center" wrapText="1"/>
    </xf>
    <xf numFmtId="0" fontId="19" fillId="8" borderId="0" xfId="7" applyFont="1" applyFill="1" applyAlignment="1">
      <alignment horizontal="center" vertical="center" wrapText="1"/>
    </xf>
    <xf numFmtId="0" fontId="19" fillId="7" borderId="0" xfId="7" applyFont="1" applyAlignment="1">
      <alignment horizontal="left" vertical="center"/>
    </xf>
    <xf numFmtId="0" fontId="19" fillId="7" borderId="21" xfId="7" applyFont="1" applyBorder="1" applyAlignment="1">
      <alignment horizontal="center" vertical="center" wrapText="1"/>
    </xf>
    <xf numFmtId="0" fontId="19" fillId="3" borderId="0" xfId="7" applyFont="1" applyFill="1" applyAlignment="1">
      <alignment horizontal="center" vertical="center" wrapText="1"/>
    </xf>
    <xf numFmtId="171" fontId="42" fillId="3" borderId="0" xfId="7" applyNumberFormat="1" applyFont="1" applyFill="1" applyAlignment="1">
      <alignment horizontal="center" vertical="center" wrapText="1"/>
    </xf>
    <xf numFmtId="0" fontId="19" fillId="5" borderId="0" xfId="7" applyFont="1" applyFill="1" applyAlignment="1">
      <alignment horizontal="center" vertical="center" wrapText="1"/>
    </xf>
    <xf numFmtId="0" fontId="19" fillId="3" borderId="21" xfId="7" applyFont="1" applyFill="1" applyBorder="1" applyAlignment="1">
      <alignment horizontal="center" vertical="center" wrapText="1"/>
    </xf>
    <xf numFmtId="0" fontId="19" fillId="3" borderId="20" xfId="7" applyFont="1" applyFill="1" applyBorder="1" applyAlignment="1">
      <alignment horizontal="center" vertical="center" wrapText="1"/>
    </xf>
    <xf numFmtId="3" fontId="19" fillId="3" borderId="0" xfId="7" applyNumberFormat="1" applyFont="1" applyFill="1" applyAlignment="1">
      <alignment horizontal="center" vertical="center" wrapText="1"/>
    </xf>
    <xf numFmtId="172" fontId="19" fillId="3" borderId="0" xfId="8" applyNumberFormat="1" applyFont="1" applyFill="1" applyBorder="1" applyAlignment="1">
      <alignment horizontal="center" vertical="center" wrapText="1"/>
    </xf>
    <xf numFmtId="0" fontId="43" fillId="3" borderId="20" xfId="7" applyFont="1" applyFill="1" applyBorder="1" applyAlignment="1">
      <alignment horizontal="center" wrapText="1"/>
    </xf>
    <xf numFmtId="0" fontId="19" fillId="3" borderId="0" xfId="7" applyFont="1" applyFill="1" applyAlignment="1">
      <alignment horizontal="left" wrapText="1"/>
    </xf>
    <xf numFmtId="0" fontId="44" fillId="3" borderId="0" xfId="7" applyFont="1" applyFill="1" applyAlignment="1">
      <alignment horizontal="center" wrapText="1"/>
    </xf>
    <xf numFmtId="166" fontId="19" fillId="3" borderId="0" xfId="1" applyNumberFormat="1" applyFont="1" applyFill="1" applyBorder="1" applyAlignment="1">
      <alignment horizontal="center" vertical="center" wrapText="1"/>
    </xf>
    <xf numFmtId="0" fontId="43" fillId="3" borderId="20" xfId="7" applyFont="1" applyFill="1" applyBorder="1" applyAlignment="1">
      <alignment horizontal="center" vertical="center" wrapText="1"/>
    </xf>
    <xf numFmtId="0" fontId="19" fillId="3" borderId="28" xfId="9" applyFont="1" applyFill="1" applyBorder="1" applyAlignment="1">
      <alignment horizontal="center" vertical="center" wrapText="1"/>
    </xf>
    <xf numFmtId="0" fontId="19" fillId="3" borderId="18" xfId="9" applyFont="1" applyFill="1" applyBorder="1" applyAlignment="1">
      <alignment horizontal="center" vertical="center" wrapText="1"/>
    </xf>
    <xf numFmtId="173" fontId="19" fillId="3" borderId="0" xfId="7" applyNumberFormat="1" applyFont="1" applyFill="1" applyAlignment="1">
      <alignment horizontal="center" vertical="center" wrapText="1"/>
    </xf>
    <xf numFmtId="42" fontId="19" fillId="3" borderId="0" xfId="7" applyNumberFormat="1" applyFont="1" applyFill="1" applyAlignment="1">
      <alignment horizontal="center" vertical="center" wrapText="1"/>
    </xf>
    <xf numFmtId="0" fontId="19" fillId="3" borderId="29" xfId="9" applyFont="1" applyFill="1" applyBorder="1" applyAlignment="1">
      <alignment horizontal="center" vertical="center" wrapText="1"/>
    </xf>
    <xf numFmtId="0" fontId="19" fillId="3" borderId="20" xfId="9" applyFont="1" applyFill="1" applyBorder="1" applyAlignment="1">
      <alignment horizontal="center" vertical="center" wrapText="1"/>
    </xf>
    <xf numFmtId="0" fontId="19" fillId="3" borderId="0" xfId="9" applyFont="1" applyFill="1" applyAlignment="1">
      <alignment horizontal="center" vertical="center" wrapText="1"/>
    </xf>
    <xf numFmtId="0" fontId="19" fillId="3" borderId="21" xfId="9" applyFont="1" applyFill="1" applyBorder="1" applyAlignment="1">
      <alignment horizontal="center" vertical="center" wrapText="1"/>
    </xf>
    <xf numFmtId="1" fontId="19" fillId="3" borderId="20" xfId="7" applyNumberFormat="1" applyFont="1" applyFill="1" applyBorder="1" applyAlignment="1">
      <alignment horizontal="center" vertical="center" wrapText="1"/>
    </xf>
    <xf numFmtId="1" fontId="19" fillId="3" borderId="0" xfId="7" applyNumberFormat="1" applyFont="1" applyFill="1" applyAlignment="1">
      <alignment horizontal="center" vertical="center" wrapText="1"/>
    </xf>
    <xf numFmtId="1" fontId="19" fillId="3" borderId="21" xfId="7" applyNumberFormat="1" applyFont="1" applyFill="1" applyBorder="1" applyAlignment="1">
      <alignment horizontal="center" vertical="center" wrapText="1"/>
    </xf>
    <xf numFmtId="0" fontId="42" fillId="3" borderId="0" xfId="7" applyFont="1" applyFill="1" applyAlignment="1">
      <alignment horizontal="center" vertical="center" wrapText="1"/>
    </xf>
    <xf numFmtId="0" fontId="42" fillId="3" borderId="28" xfId="7" applyFont="1" applyFill="1" applyBorder="1" applyAlignment="1">
      <alignment horizontal="center" vertical="center" wrapText="1"/>
    </xf>
    <xf numFmtId="0" fontId="19" fillId="3" borderId="30" xfId="9" applyFont="1" applyFill="1" applyBorder="1" applyAlignment="1">
      <alignment horizontal="center" vertical="center" wrapText="1"/>
    </xf>
    <xf numFmtId="0" fontId="19" fillId="3" borderId="22" xfId="9" applyFont="1" applyFill="1" applyBorder="1" applyAlignment="1">
      <alignment horizontal="center" vertical="center" wrapText="1"/>
    </xf>
    <xf numFmtId="0" fontId="19" fillId="3" borderId="23" xfId="9" applyFont="1" applyFill="1" applyBorder="1" applyAlignment="1">
      <alignment horizontal="center" vertical="center" wrapText="1"/>
    </xf>
    <xf numFmtId="0" fontId="19" fillId="3" borderId="24" xfId="9" applyFont="1" applyFill="1" applyBorder="1" applyAlignment="1">
      <alignment horizontal="center" vertical="center" wrapText="1"/>
    </xf>
    <xf numFmtId="0" fontId="19" fillId="3" borderId="22" xfId="7" quotePrefix="1" applyFont="1" applyFill="1" applyBorder="1" applyAlignment="1">
      <alignment horizontal="center" vertical="center" wrapText="1"/>
    </xf>
    <xf numFmtId="0" fontId="19" fillId="3" borderId="23" xfId="7" quotePrefix="1" applyFont="1" applyFill="1" applyBorder="1" applyAlignment="1">
      <alignment horizontal="center" vertical="center" wrapText="1"/>
    </xf>
    <xf numFmtId="0" fontId="19" fillId="3" borderId="24" xfId="7" quotePrefix="1" applyFont="1" applyFill="1" applyBorder="1" applyAlignment="1">
      <alignment horizontal="center" vertical="center" wrapText="1"/>
    </xf>
    <xf numFmtId="0" fontId="42" fillId="3" borderId="30" xfId="7" applyFont="1" applyFill="1" applyBorder="1" applyAlignment="1">
      <alignment horizontal="center" vertical="center" wrapText="1"/>
    </xf>
    <xf numFmtId="0" fontId="42" fillId="3" borderId="17" xfId="7" applyFont="1" applyFill="1" applyBorder="1" applyAlignment="1">
      <alignment horizontal="center" vertical="center" wrapText="1"/>
    </xf>
    <xf numFmtId="0" fontId="42" fillId="3" borderId="29" xfId="7" applyFont="1" applyFill="1" applyBorder="1" applyAlignment="1">
      <alignment horizontal="center" vertical="center" wrapText="1"/>
    </xf>
    <xf numFmtId="3" fontId="42" fillId="3" borderId="0" xfId="7" applyNumberFormat="1" applyFont="1" applyFill="1" applyAlignment="1">
      <alignment horizontal="center" vertical="center" wrapText="1"/>
    </xf>
    <xf numFmtId="172" fontId="42" fillId="3" borderId="21" xfId="8" applyNumberFormat="1" applyFont="1" applyFill="1" applyBorder="1" applyAlignment="1">
      <alignment horizontal="center" vertical="center" wrapText="1"/>
    </xf>
    <xf numFmtId="42" fontId="19" fillId="3" borderId="21" xfId="7" applyNumberFormat="1" applyFont="1" applyFill="1" applyBorder="1" applyAlignment="1">
      <alignment horizontal="center" vertical="center" wrapText="1"/>
    </xf>
    <xf numFmtId="0" fontId="43" fillId="3" borderId="29" xfId="7" applyFont="1" applyFill="1" applyBorder="1" applyAlignment="1">
      <alignment horizontal="center" vertical="center" wrapText="1"/>
    </xf>
    <xf numFmtId="0" fontId="42" fillId="3" borderId="0" xfId="7" applyFont="1" applyFill="1" applyAlignment="1">
      <alignment vertical="center" wrapText="1"/>
    </xf>
    <xf numFmtId="10" fontId="42" fillId="3" borderId="0" xfId="2" applyNumberFormat="1" applyFont="1" applyFill="1" applyBorder="1" applyAlignment="1">
      <alignment vertical="center" wrapText="1"/>
    </xf>
    <xf numFmtId="165" fontId="42" fillId="3" borderId="21" xfId="1" applyFont="1" applyFill="1" applyBorder="1" applyAlignment="1">
      <alignment horizontal="center" vertical="center" wrapText="1"/>
    </xf>
    <xf numFmtId="0" fontId="42" fillId="0" borderId="29" xfId="7" applyFont="1" applyFill="1" applyBorder="1" applyAlignment="1">
      <alignment horizontal="center" vertical="center" wrapText="1"/>
    </xf>
    <xf numFmtId="0" fontId="43" fillId="3" borderId="30" xfId="7" applyFont="1" applyFill="1" applyBorder="1" applyAlignment="1">
      <alignment horizontal="center" vertical="center" wrapText="1"/>
    </xf>
    <xf numFmtId="0" fontId="19" fillId="3" borderId="23" xfId="7" applyFont="1" applyFill="1" applyBorder="1" applyAlignment="1">
      <alignment horizontal="center" vertical="center" wrapText="1"/>
    </xf>
    <xf numFmtId="0" fontId="42" fillId="3" borderId="23" xfId="7" applyFont="1" applyFill="1" applyBorder="1" applyAlignment="1">
      <alignment vertical="center" wrapText="1"/>
    </xf>
    <xf numFmtId="9" fontId="42" fillId="3" borderId="23" xfId="2" applyFont="1" applyFill="1" applyBorder="1" applyAlignment="1">
      <alignment vertical="center" wrapText="1"/>
    </xf>
    <xf numFmtId="172" fontId="42" fillId="3" borderId="24" xfId="8" applyNumberFormat="1" applyFont="1" applyFill="1" applyBorder="1" applyAlignment="1">
      <alignment horizontal="center" vertical="center" wrapText="1"/>
    </xf>
    <xf numFmtId="0" fontId="42" fillId="0" borderId="30" xfId="7" applyFont="1" applyFill="1" applyBorder="1" applyAlignment="1">
      <alignment horizontal="center" vertical="center" wrapText="1"/>
    </xf>
    <xf numFmtId="0" fontId="42" fillId="9" borderId="25" xfId="7" applyFont="1" applyFill="1" applyBorder="1" applyAlignment="1">
      <alignment horizontal="center" vertical="center" wrapText="1"/>
    </xf>
    <xf numFmtId="0" fontId="42" fillId="9" borderId="26" xfId="7" applyFont="1" applyFill="1" applyBorder="1" applyAlignment="1">
      <alignment horizontal="left" vertical="center" wrapText="1"/>
    </xf>
    <xf numFmtId="0" fontId="42" fillId="9" borderId="26" xfId="7" applyFont="1" applyFill="1" applyBorder="1" applyAlignment="1">
      <alignment horizontal="center" vertical="center" wrapText="1"/>
    </xf>
    <xf numFmtId="3" fontId="42" fillId="9" borderId="26" xfId="7" applyNumberFormat="1" applyFont="1" applyFill="1" applyBorder="1" applyAlignment="1">
      <alignment horizontal="left" vertical="center" wrapText="1"/>
    </xf>
    <xf numFmtId="172" fontId="42" fillId="9" borderId="26" xfId="8" applyNumberFormat="1" applyFont="1" applyFill="1" applyBorder="1" applyAlignment="1">
      <alignment horizontal="left" vertical="center" wrapText="1"/>
    </xf>
    <xf numFmtId="0" fontId="42" fillId="9" borderId="28" xfId="7" applyFont="1" applyFill="1" applyBorder="1" applyAlignment="1">
      <alignment horizontal="left" vertical="center" wrapText="1"/>
    </xf>
    <xf numFmtId="0" fontId="42" fillId="9" borderId="0" xfId="7" applyFont="1" applyFill="1" applyAlignment="1">
      <alignment horizontal="left" vertical="center" wrapText="1"/>
    </xf>
    <xf numFmtId="0" fontId="19" fillId="0" borderId="0" xfId="7" applyFont="1" applyFill="1" applyAlignment="1">
      <alignment horizontal="center" vertical="center" wrapText="1"/>
    </xf>
    <xf numFmtId="0" fontId="19" fillId="0" borderId="74" xfId="7" applyFont="1" applyFill="1" applyBorder="1" applyAlignment="1">
      <alignment horizontal="center" vertical="center" wrapText="1"/>
    </xf>
    <xf numFmtId="0" fontId="19" fillId="0" borderId="75" xfId="7" applyFont="1" applyFill="1" applyBorder="1" applyAlignment="1">
      <alignment horizontal="center" vertical="center" wrapText="1"/>
    </xf>
    <xf numFmtId="0" fontId="19" fillId="0" borderId="75" xfId="7" applyFont="1" applyFill="1" applyBorder="1" applyAlignment="1">
      <alignment horizontal="left" vertical="center" wrapText="1"/>
    </xf>
    <xf numFmtId="3" fontId="19" fillId="0" borderId="75" xfId="7" applyNumberFormat="1" applyFont="1" applyFill="1" applyBorder="1" applyAlignment="1">
      <alignment vertical="center" wrapText="1"/>
    </xf>
    <xf numFmtId="172" fontId="19" fillId="0" borderId="76" xfId="8" applyNumberFormat="1" applyFont="1" applyFill="1" applyBorder="1" applyAlignment="1">
      <alignment horizontal="left" vertical="center" wrapText="1"/>
    </xf>
    <xf numFmtId="0" fontId="19" fillId="0" borderId="63" xfId="7" applyFont="1" applyFill="1" applyBorder="1" applyAlignment="1">
      <alignment horizontal="left" vertical="center" wrapText="1"/>
    </xf>
    <xf numFmtId="0" fontId="19" fillId="4" borderId="18" xfId="7" applyFont="1" applyFill="1" applyBorder="1" applyAlignment="1">
      <alignment horizontal="left" vertical="center" wrapText="1"/>
    </xf>
    <xf numFmtId="0" fontId="19" fillId="4" borderId="57" xfId="7" applyFont="1" applyFill="1" applyBorder="1" applyAlignment="1">
      <alignment horizontal="left" vertical="center" wrapText="1"/>
    </xf>
    <xf numFmtId="0" fontId="19" fillId="0" borderId="19" xfId="7" applyFont="1" applyFill="1" applyBorder="1" applyAlignment="1">
      <alignment horizontal="left" vertical="center" wrapText="1"/>
    </xf>
    <xf numFmtId="0" fontId="19" fillId="0" borderId="18" xfId="7" applyFont="1" applyFill="1" applyBorder="1" applyAlignment="1">
      <alignment horizontal="left" vertical="center" wrapText="1"/>
    </xf>
    <xf numFmtId="0" fontId="19" fillId="3" borderId="18" xfId="7" quotePrefix="1" applyFont="1" applyFill="1" applyBorder="1" applyAlignment="1">
      <alignment vertical="center" wrapText="1"/>
    </xf>
    <xf numFmtId="0" fontId="19" fillId="3" borderId="57" xfId="7" quotePrefix="1" applyFont="1" applyFill="1" applyBorder="1" applyAlignment="1">
      <alignment vertical="center" wrapText="1"/>
    </xf>
    <xf numFmtId="0" fontId="19" fillId="3" borderId="19" xfId="7" quotePrefix="1" applyFont="1" applyFill="1" applyBorder="1" applyAlignment="1">
      <alignment vertical="center" wrapText="1"/>
    </xf>
    <xf numFmtId="0" fontId="19" fillId="3" borderId="58" xfId="7" quotePrefix="1" applyFont="1" applyFill="1" applyBorder="1" applyAlignment="1">
      <alignment vertical="center" wrapText="1"/>
    </xf>
    <xf numFmtId="0" fontId="19" fillId="0" borderId="59" xfId="7" quotePrefix="1" applyFont="1" applyFill="1" applyBorder="1" applyAlignment="1">
      <alignment horizontal="center" vertical="center" wrapText="1"/>
    </xf>
    <xf numFmtId="0" fontId="19" fillId="0" borderId="77" xfId="7" applyFont="1" applyFill="1" applyBorder="1" applyAlignment="1">
      <alignment horizontal="center" vertical="center" wrapText="1"/>
    </xf>
    <xf numFmtId="0" fontId="19" fillId="0" borderId="78" xfId="7" applyFont="1" applyFill="1" applyBorder="1" applyAlignment="1">
      <alignment horizontal="center" vertical="center" wrapText="1"/>
    </xf>
    <xf numFmtId="0" fontId="19" fillId="0" borderId="78" xfId="7" applyFont="1" applyFill="1" applyBorder="1" applyAlignment="1">
      <alignment horizontal="left" vertical="center" wrapText="1"/>
    </xf>
    <xf numFmtId="3" fontId="19" fillId="0" borderId="78" xfId="7" applyNumberFormat="1" applyFont="1" applyFill="1" applyBorder="1" applyAlignment="1">
      <alignment vertical="center" wrapText="1"/>
    </xf>
    <xf numFmtId="172" fontId="19" fillId="0" borderId="79" xfId="8" applyNumberFormat="1" applyFont="1" applyFill="1" applyBorder="1" applyAlignment="1">
      <alignment horizontal="left" vertical="center" wrapText="1"/>
    </xf>
    <xf numFmtId="0" fontId="19" fillId="0" borderId="29" xfId="7" applyFont="1" applyFill="1" applyBorder="1" applyAlignment="1">
      <alignment horizontal="left" vertical="center" wrapText="1"/>
    </xf>
    <xf numFmtId="0" fontId="19" fillId="0" borderId="20" xfId="7" applyFont="1" applyFill="1" applyBorder="1" applyAlignment="1">
      <alignment horizontal="left" vertical="center" wrapText="1"/>
    </xf>
    <xf numFmtId="0" fontId="19" fillId="4" borderId="21" xfId="7" applyFont="1" applyFill="1" applyBorder="1" applyAlignment="1">
      <alignment vertical="center" wrapText="1"/>
    </xf>
    <xf numFmtId="0" fontId="19" fillId="4" borderId="20" xfId="7" applyFont="1" applyFill="1" applyBorder="1" applyAlignment="1">
      <alignment vertical="center" wrapText="1"/>
    </xf>
    <xf numFmtId="0" fontId="19" fillId="4" borderId="0" xfId="7" applyFont="1" applyFill="1" applyAlignment="1">
      <alignment vertical="center" wrapText="1"/>
    </xf>
    <xf numFmtId="0" fontId="19" fillId="4" borderId="20" xfId="7" quotePrefix="1" applyFont="1" applyFill="1" applyBorder="1" applyAlignment="1">
      <alignment vertical="center" wrapText="1"/>
    </xf>
    <xf numFmtId="0" fontId="19" fillId="4" borderId="0" xfId="7" quotePrefix="1" applyFont="1" applyFill="1" applyAlignment="1">
      <alignment vertical="center" wrapText="1"/>
    </xf>
    <xf numFmtId="0" fontId="19" fillId="4" borderId="21" xfId="7" quotePrefix="1" applyFont="1" applyFill="1" applyBorder="1" applyAlignment="1">
      <alignment vertical="center" wrapText="1"/>
    </xf>
    <xf numFmtId="0" fontId="19" fillId="4" borderId="60" xfId="7" quotePrefix="1" applyFont="1" applyFill="1" applyBorder="1" applyAlignment="1">
      <alignment horizontal="center" vertical="center" wrapText="1"/>
    </xf>
    <xf numFmtId="0" fontId="19" fillId="3" borderId="77" xfId="7" applyFont="1" applyFill="1" applyBorder="1" applyAlignment="1">
      <alignment horizontal="center" vertical="center" wrapText="1"/>
    </xf>
    <xf numFmtId="0" fontId="19" fillId="3" borderId="78" xfId="7" applyFont="1" applyFill="1" applyBorder="1" applyAlignment="1">
      <alignment horizontal="right" vertical="center" wrapText="1"/>
    </xf>
    <xf numFmtId="0" fontId="19" fillId="3" borderId="78" xfId="7" applyFont="1" applyFill="1" applyBorder="1" applyAlignment="1">
      <alignment horizontal="left" vertical="center" wrapText="1"/>
    </xf>
    <xf numFmtId="0" fontId="19" fillId="3" borderId="78" xfId="7" applyFont="1" applyFill="1" applyBorder="1" applyAlignment="1">
      <alignment horizontal="center" vertical="center" wrapText="1"/>
    </xf>
    <xf numFmtId="0" fontId="19" fillId="3" borderId="78" xfId="7" applyFont="1" applyFill="1" applyBorder="1" applyAlignment="1">
      <alignment vertical="center" wrapText="1"/>
    </xf>
    <xf numFmtId="172" fontId="19" fillId="3" borderId="79" xfId="8" applyNumberFormat="1" applyFont="1" applyFill="1" applyBorder="1" applyAlignment="1">
      <alignment vertical="center" wrapText="1"/>
    </xf>
    <xf numFmtId="0" fontId="19" fillId="3" borderId="29" xfId="7" applyFont="1" applyFill="1" applyBorder="1" applyAlignment="1">
      <alignment vertical="center" wrapText="1"/>
    </xf>
    <xf numFmtId="0" fontId="19" fillId="3" borderId="20" xfId="7" applyFont="1" applyFill="1" applyBorder="1" applyAlignment="1">
      <alignment vertical="center" wrapText="1"/>
    </xf>
    <xf numFmtId="0" fontId="19" fillId="4" borderId="60" xfId="7" applyFont="1" applyFill="1" applyBorder="1" applyAlignment="1">
      <alignment vertical="center" wrapText="1"/>
    </xf>
    <xf numFmtId="0" fontId="19" fillId="3" borderId="80" xfId="7" applyFont="1" applyFill="1" applyBorder="1" applyAlignment="1">
      <alignment horizontal="center" vertical="center" wrapText="1"/>
    </xf>
    <xf numFmtId="0" fontId="19" fillId="3" borderId="81" xfId="7" applyFont="1" applyFill="1" applyBorder="1" applyAlignment="1">
      <alignment horizontal="center" vertical="center" wrapText="1"/>
    </xf>
    <xf numFmtId="0" fontId="19" fillId="3" borderId="81" xfId="7" applyFont="1" applyFill="1" applyBorder="1" applyAlignment="1">
      <alignment horizontal="left" vertical="center" wrapText="1"/>
    </xf>
    <xf numFmtId="1" fontId="19" fillId="3" borderId="81" xfId="7" applyNumberFormat="1" applyFont="1" applyFill="1" applyBorder="1" applyAlignment="1">
      <alignment vertical="center" wrapText="1"/>
    </xf>
    <xf numFmtId="172" fontId="19" fillId="3" borderId="82" xfId="8" applyNumberFormat="1" applyFont="1" applyFill="1" applyBorder="1" applyAlignment="1">
      <alignment vertical="center" wrapText="1"/>
    </xf>
    <xf numFmtId="0" fontId="19" fillId="3" borderId="64" xfId="7" applyFont="1" applyFill="1" applyBorder="1" applyAlignment="1">
      <alignment vertical="center" wrapText="1"/>
    </xf>
    <xf numFmtId="0" fontId="19" fillId="3" borderId="22" xfId="7" applyFont="1" applyFill="1" applyBorder="1" applyAlignment="1">
      <alignment vertical="center" wrapText="1"/>
    </xf>
    <xf numFmtId="0" fontId="19" fillId="3" borderId="23" xfId="7" applyFont="1" applyFill="1" applyBorder="1" applyAlignment="1">
      <alignment vertical="center" wrapText="1"/>
    </xf>
    <xf numFmtId="0" fontId="19" fillId="3" borderId="24" xfId="7" applyFont="1" applyFill="1" applyBorder="1" applyAlignment="1">
      <alignment vertical="center" wrapText="1"/>
    </xf>
    <xf numFmtId="0" fontId="19" fillId="4" borderId="22" xfId="7" applyFont="1" applyFill="1" applyBorder="1" applyAlignment="1">
      <alignment vertical="center" wrapText="1"/>
    </xf>
    <xf numFmtId="0" fontId="19" fillId="4" borderId="23" xfId="7" applyFont="1" applyFill="1" applyBorder="1" applyAlignment="1">
      <alignment vertical="center" wrapText="1"/>
    </xf>
    <xf numFmtId="0" fontId="19" fillId="4" borderId="24" xfId="7" applyFont="1" applyFill="1" applyBorder="1" applyAlignment="1">
      <alignment vertical="center" wrapText="1"/>
    </xf>
    <xf numFmtId="0" fontId="19" fillId="4" borderId="22" xfId="7" quotePrefix="1" applyFont="1" applyFill="1" applyBorder="1" applyAlignment="1">
      <alignment vertical="center"/>
    </xf>
    <xf numFmtId="0" fontId="19" fillId="4" borderId="23" xfId="7" quotePrefix="1" applyFont="1" applyFill="1" applyBorder="1" applyAlignment="1">
      <alignment vertical="center"/>
    </xf>
    <xf numFmtId="0" fontId="19" fillId="4" borderId="24" xfId="7" quotePrefix="1" applyFont="1" applyFill="1" applyBorder="1" applyAlignment="1">
      <alignment vertical="center"/>
    </xf>
    <xf numFmtId="0" fontId="19" fillId="4" borderId="61" xfId="7" quotePrefix="1" applyFont="1" applyFill="1" applyBorder="1" applyAlignment="1">
      <alignment vertical="center"/>
    </xf>
    <xf numFmtId="0" fontId="19" fillId="4" borderId="62" xfId="7" quotePrefix="1" applyFont="1" applyFill="1" applyBorder="1" applyAlignment="1">
      <alignment vertical="center"/>
    </xf>
    <xf numFmtId="0" fontId="42" fillId="9" borderId="29" xfId="7" applyFont="1" applyFill="1" applyBorder="1" applyAlignment="1">
      <alignment horizontal="left" vertical="center" wrapText="1"/>
    </xf>
    <xf numFmtId="0" fontId="42" fillId="9" borderId="18" xfId="7" applyFont="1" applyFill="1" applyBorder="1" applyAlignment="1">
      <alignment horizontal="left" vertical="center" wrapText="1"/>
    </xf>
    <xf numFmtId="0" fontId="42" fillId="9" borderId="57" xfId="7" applyFont="1" applyFill="1" applyBorder="1" applyAlignment="1">
      <alignment horizontal="left" vertical="center" wrapText="1"/>
    </xf>
    <xf numFmtId="0" fontId="42" fillId="9" borderId="19" xfId="7" applyFont="1" applyFill="1" applyBorder="1" applyAlignment="1">
      <alignment horizontal="left" vertical="center" wrapText="1"/>
    </xf>
    <xf numFmtId="0" fontId="19" fillId="9" borderId="18" xfId="7" quotePrefix="1" applyFont="1" applyFill="1" applyBorder="1" applyAlignment="1">
      <alignment vertical="center"/>
    </xf>
    <xf numFmtId="0" fontId="19" fillId="9" borderId="57" xfId="7" quotePrefix="1" applyFont="1" applyFill="1" applyBorder="1" applyAlignment="1">
      <alignment vertical="center"/>
    </xf>
    <xf numFmtId="0" fontId="19" fillId="9" borderId="19" xfId="7" quotePrefix="1" applyFont="1" applyFill="1" applyBorder="1" applyAlignment="1">
      <alignment vertical="center"/>
    </xf>
    <xf numFmtId="0" fontId="19" fillId="9" borderId="0" xfId="7" quotePrefix="1" applyFont="1" applyFill="1" applyAlignment="1">
      <alignment vertical="center"/>
    </xf>
    <xf numFmtId="0" fontId="19" fillId="9" borderId="21" xfId="7" quotePrefix="1" applyFont="1" applyFill="1" applyBorder="1" applyAlignment="1">
      <alignment vertical="center"/>
    </xf>
    <xf numFmtId="166" fontId="42" fillId="3" borderId="29" xfId="7" applyNumberFormat="1" applyFont="1" applyFill="1" applyBorder="1" applyAlignment="1">
      <alignment horizontal="center" vertical="center" wrapText="1"/>
    </xf>
    <xf numFmtId="0" fontId="42" fillId="3" borderId="20" xfId="7" applyFont="1" applyFill="1" applyBorder="1" applyAlignment="1">
      <alignment vertical="center" wrapText="1"/>
    </xf>
    <xf numFmtId="0" fontId="42" fillId="3" borderId="21" xfId="7" applyFont="1" applyFill="1" applyBorder="1" applyAlignment="1">
      <alignment vertical="center" wrapText="1"/>
    </xf>
    <xf numFmtId="0" fontId="42" fillId="3" borderId="29" xfId="7" applyFont="1" applyFill="1" applyBorder="1" applyAlignment="1">
      <alignment vertical="center" wrapText="1"/>
    </xf>
    <xf numFmtId="0" fontId="42" fillId="4" borderId="20" xfId="7" applyFont="1" applyFill="1" applyBorder="1" applyAlignment="1">
      <alignment vertical="center" wrapText="1"/>
    </xf>
    <xf numFmtId="0" fontId="42" fillId="4" borderId="0" xfId="7" applyFont="1" applyFill="1" applyAlignment="1">
      <alignment vertical="center" wrapText="1"/>
    </xf>
    <xf numFmtId="0" fontId="42" fillId="4" borderId="21" xfId="7" applyFont="1" applyFill="1" applyBorder="1" applyAlignment="1">
      <alignment vertical="center" wrapText="1"/>
    </xf>
    <xf numFmtId="0" fontId="19" fillId="4" borderId="20" xfId="7" applyFont="1" applyFill="1" applyBorder="1" applyAlignment="1">
      <alignment horizontal="left" vertical="center" wrapText="1"/>
    </xf>
    <xf numFmtId="0" fontId="19" fillId="4" borderId="0" xfId="7" applyFont="1" applyFill="1" applyAlignment="1">
      <alignment horizontal="left" vertical="center" wrapText="1"/>
    </xf>
    <xf numFmtId="0" fontId="19" fillId="4" borderId="21" xfId="7" applyFont="1" applyFill="1" applyBorder="1" applyAlignment="1">
      <alignment horizontal="left" vertical="center" wrapText="1"/>
    </xf>
    <xf numFmtId="0" fontId="19" fillId="4" borderId="0" xfId="7" quotePrefix="1" applyFont="1" applyFill="1" applyAlignment="1">
      <alignment vertical="center"/>
    </xf>
    <xf numFmtId="0" fontId="19" fillId="4" borderId="21" xfId="7" quotePrefix="1" applyFont="1" applyFill="1" applyBorder="1" applyAlignment="1">
      <alignment vertical="center"/>
    </xf>
    <xf numFmtId="0" fontId="19" fillId="4" borderId="20" xfId="7" quotePrefix="1" applyFont="1" applyFill="1" applyBorder="1" applyAlignment="1">
      <alignment horizontal="center" vertical="center" wrapText="1"/>
    </xf>
    <xf numFmtId="0" fontId="19" fillId="4" borderId="0" xfId="7" quotePrefix="1" applyFont="1" applyFill="1" applyAlignment="1">
      <alignment horizontal="center" vertical="center" wrapText="1"/>
    </xf>
    <xf numFmtId="0" fontId="19" fillId="4" borderId="21" xfId="7" quotePrefix="1" applyFont="1" applyFill="1" applyBorder="1" applyAlignment="1">
      <alignment horizontal="center" vertical="center" wrapText="1"/>
    </xf>
    <xf numFmtId="0" fontId="19" fillId="0" borderId="21" xfId="7" applyFont="1" applyFill="1" applyBorder="1" applyAlignment="1">
      <alignment horizontal="left" vertical="center" wrapText="1"/>
    </xf>
    <xf numFmtId="0" fontId="19" fillId="3" borderId="20" xfId="7" quotePrefix="1" applyFont="1" applyFill="1" applyBorder="1" applyAlignment="1">
      <alignment horizontal="center" vertical="center" wrapText="1"/>
    </xf>
    <xf numFmtId="0" fontId="19" fillId="3" borderId="0" xfId="7" quotePrefix="1" applyFont="1" applyFill="1" applyAlignment="1">
      <alignment horizontal="center" vertical="center" wrapText="1"/>
    </xf>
    <xf numFmtId="0" fontId="19" fillId="3" borderId="21" xfId="7" quotePrefix="1" applyFont="1" applyFill="1" applyBorder="1" applyAlignment="1">
      <alignment horizontal="center" vertical="center" wrapText="1"/>
    </xf>
    <xf numFmtId="0" fontId="19" fillId="0" borderId="0" xfId="7" quotePrefix="1" applyFont="1" applyFill="1" applyAlignment="1">
      <alignment vertical="center"/>
    </xf>
    <xf numFmtId="0" fontId="19" fillId="0" borderId="21" xfId="7" quotePrefix="1" applyFont="1" applyFill="1" applyBorder="1" applyAlignment="1">
      <alignment vertical="center"/>
    </xf>
    <xf numFmtId="0" fontId="42" fillId="9" borderId="25" xfId="7" applyFont="1" applyFill="1" applyBorder="1" applyAlignment="1">
      <alignment horizontal="left" vertical="center" wrapText="1"/>
    </xf>
    <xf numFmtId="0" fontId="19" fillId="9" borderId="26" xfId="7" applyFont="1" applyFill="1" applyBorder="1" applyAlignment="1">
      <alignment horizontal="left" vertical="center" wrapText="1"/>
    </xf>
    <xf numFmtId="166" fontId="42" fillId="9" borderId="26" xfId="1" applyNumberFormat="1" applyFont="1" applyFill="1" applyBorder="1" applyAlignment="1">
      <alignment horizontal="center" vertical="center" wrapText="1"/>
    </xf>
    <xf numFmtId="3" fontId="19" fillId="9" borderId="26" xfId="7" applyNumberFormat="1" applyFont="1" applyFill="1" applyBorder="1" applyAlignment="1">
      <alignment horizontal="left" vertical="center" wrapText="1"/>
    </xf>
    <xf numFmtId="166" fontId="42" fillId="9" borderId="26" xfId="1" applyNumberFormat="1" applyFont="1" applyFill="1" applyBorder="1" applyAlignment="1">
      <alignment horizontal="right" vertical="center" wrapText="1"/>
    </xf>
    <xf numFmtId="0" fontId="19" fillId="9" borderId="17" xfId="7" applyFont="1" applyFill="1" applyBorder="1" applyAlignment="1">
      <alignment horizontal="left" vertical="center" wrapText="1"/>
    </xf>
    <xf numFmtId="0" fontId="19" fillId="9" borderId="25" xfId="7" applyFont="1" applyFill="1" applyBorder="1" applyAlignment="1">
      <alignment horizontal="left" vertical="center" wrapText="1"/>
    </xf>
    <xf numFmtId="0" fontId="19" fillId="9" borderId="27" xfId="7" applyFont="1" applyFill="1" applyBorder="1" applyAlignment="1">
      <alignment horizontal="left" vertical="center" wrapText="1"/>
    </xf>
    <xf numFmtId="0" fontId="19" fillId="9" borderId="25" xfId="7" quotePrefix="1" applyFont="1" applyFill="1" applyBorder="1" applyAlignment="1">
      <alignment horizontal="center" vertical="center" wrapText="1"/>
    </xf>
    <xf numFmtId="0" fontId="19" fillId="9" borderId="26" xfId="7" quotePrefix="1" applyFont="1" applyFill="1" applyBorder="1" applyAlignment="1">
      <alignment horizontal="center" vertical="center" wrapText="1"/>
    </xf>
    <xf numFmtId="0" fontId="19" fillId="9" borderId="27" xfId="7" quotePrefix="1" applyFont="1" applyFill="1" applyBorder="1" applyAlignment="1">
      <alignment horizontal="center" vertical="center" wrapText="1"/>
    </xf>
    <xf numFmtId="0" fontId="19" fillId="9" borderId="26" xfId="7" quotePrefix="1" applyFont="1" applyFill="1" applyBorder="1" applyAlignment="1">
      <alignment vertical="center"/>
    </xf>
    <xf numFmtId="0" fontId="19" fillId="9" borderId="27" xfId="7" quotePrefix="1" applyFont="1" applyFill="1" applyBorder="1" applyAlignment="1">
      <alignment vertical="center"/>
    </xf>
    <xf numFmtId="0" fontId="42" fillId="3" borderId="0" xfId="7" applyFont="1" applyFill="1" applyAlignment="1">
      <alignment horizontal="left" vertical="center" wrapText="1"/>
    </xf>
    <xf numFmtId="165" fontId="42" fillId="3" borderId="0" xfId="8" applyFont="1" applyFill="1" applyBorder="1" applyAlignment="1">
      <alignment horizontal="center" vertical="center" wrapText="1"/>
    </xf>
    <xf numFmtId="3" fontId="19" fillId="7" borderId="0" xfId="7" applyNumberFormat="1" applyFont="1" applyAlignment="1">
      <alignment horizontal="center" vertical="center" wrapText="1"/>
    </xf>
    <xf numFmtId="172" fontId="19" fillId="7" borderId="0" xfId="8" applyNumberFormat="1" applyFont="1" applyFill="1" applyBorder="1" applyAlignment="1">
      <alignment horizontal="center" vertical="center" wrapText="1"/>
    </xf>
    <xf numFmtId="0" fontId="19" fillId="3" borderId="75" xfId="7" applyFont="1" applyFill="1" applyBorder="1" applyAlignment="1">
      <alignment vertical="center" wrapText="1"/>
    </xf>
    <xf numFmtId="0" fontId="42" fillId="3" borderId="75" xfId="7" applyFont="1" applyFill="1" applyBorder="1" applyAlignment="1">
      <alignment vertical="center" wrapText="1"/>
    </xf>
    <xf numFmtId="166" fontId="42" fillId="3" borderId="76" xfId="1" applyNumberFormat="1" applyFont="1" applyFill="1" applyBorder="1" applyAlignment="1">
      <alignment vertical="center" wrapText="1"/>
    </xf>
    <xf numFmtId="0" fontId="42" fillId="3" borderId="78" xfId="7" applyFont="1" applyFill="1" applyBorder="1" applyAlignment="1">
      <alignment vertical="center" wrapText="1"/>
    </xf>
    <xf numFmtId="166" fontId="42" fillId="3" borderId="79" xfId="1" applyNumberFormat="1" applyFont="1" applyFill="1" applyBorder="1" applyAlignment="1">
      <alignment vertical="center" wrapText="1"/>
    </xf>
    <xf numFmtId="166" fontId="42" fillId="3" borderId="78" xfId="1" applyNumberFormat="1" applyFont="1" applyFill="1" applyBorder="1" applyAlignment="1">
      <alignment horizontal="center" vertical="center" wrapText="1"/>
    </xf>
    <xf numFmtId="166" fontId="42" fillId="3" borderId="78" xfId="1" applyNumberFormat="1" applyFont="1" applyFill="1" applyBorder="1" applyAlignment="1">
      <alignment vertical="center" wrapText="1"/>
    </xf>
    <xf numFmtId="166" fontId="42" fillId="0" borderId="78" xfId="1" applyNumberFormat="1" applyFont="1" applyFill="1" applyBorder="1" applyAlignment="1">
      <alignment horizontal="center" vertical="center" wrapText="1"/>
    </xf>
    <xf numFmtId="3" fontId="19" fillId="0" borderId="78" xfId="7" applyNumberFormat="1" applyFont="1" applyFill="1" applyBorder="1" applyAlignment="1">
      <alignment horizontal="left" vertical="center" wrapText="1"/>
    </xf>
    <xf numFmtId="0" fontId="42" fillId="0" borderId="77" xfId="7" applyFont="1" applyFill="1" applyBorder="1" applyAlignment="1">
      <alignment horizontal="left" vertical="center" wrapText="1"/>
    </xf>
    <xf numFmtId="0" fontId="42" fillId="0" borderId="80" xfId="7" applyFont="1" applyFill="1" applyBorder="1" applyAlignment="1">
      <alignment horizontal="left" vertical="center" wrapText="1"/>
    </xf>
    <xf numFmtId="0" fontId="19" fillId="0" borderId="81" xfId="7" applyFont="1" applyFill="1" applyBorder="1" applyAlignment="1">
      <alignment horizontal="left" vertical="center" wrapText="1"/>
    </xf>
    <xf numFmtId="9" fontId="19" fillId="0" borderId="81" xfId="7" applyNumberFormat="1" applyFont="1" applyFill="1" applyBorder="1" applyAlignment="1">
      <alignment horizontal="left" vertical="center" wrapText="1"/>
    </xf>
    <xf numFmtId="175" fontId="42" fillId="0" borderId="81" xfId="1" applyNumberFormat="1" applyFont="1" applyFill="1" applyBorder="1" applyAlignment="1">
      <alignment horizontal="center" vertical="center" wrapText="1"/>
    </xf>
    <xf numFmtId="3" fontId="19" fillId="0" borderId="81" xfId="7" applyNumberFormat="1" applyFont="1" applyFill="1" applyBorder="1" applyAlignment="1">
      <alignment horizontal="left" vertical="center" wrapText="1"/>
    </xf>
    <xf numFmtId="166" fontId="42" fillId="3" borderId="82" xfId="1" applyNumberFormat="1" applyFont="1" applyFill="1" applyBorder="1" applyAlignment="1">
      <alignment vertical="center" wrapText="1"/>
    </xf>
    <xf numFmtId="3" fontId="42" fillId="3" borderId="18" xfId="6" applyNumberFormat="1" applyFont="1" applyFill="1" applyBorder="1" applyAlignment="1">
      <alignment vertical="center" wrapText="1"/>
    </xf>
    <xf numFmtId="14" fontId="42" fillId="3" borderId="20" xfId="6" applyNumberFormat="1" applyFont="1" applyFill="1" applyBorder="1" applyAlignment="1">
      <alignment horizontal="center" vertical="center" wrapText="1"/>
    </xf>
    <xf numFmtId="3" fontId="42" fillId="3" borderId="20" xfId="6" applyNumberFormat="1" applyFont="1" applyFill="1" applyBorder="1" applyAlignment="1">
      <alignment horizontal="left" vertical="center" wrapText="1"/>
    </xf>
    <xf numFmtId="0" fontId="19" fillId="3" borderId="0" xfId="0" applyFont="1" applyFill="1" applyAlignment="1">
      <alignment wrapText="1"/>
    </xf>
    <xf numFmtId="166" fontId="24" fillId="3" borderId="16" xfId="1" applyNumberFormat="1" applyFont="1" applyFill="1" applyBorder="1" applyAlignment="1">
      <alignment horizontal="center" vertical="center"/>
    </xf>
    <xf numFmtId="0" fontId="19" fillId="3" borderId="65" xfId="0" applyFont="1" applyFill="1" applyBorder="1" applyAlignment="1">
      <alignment horizontal="center" wrapText="1"/>
    </xf>
    <xf numFmtId="0" fontId="42" fillId="3" borderId="57" xfId="0" applyFont="1" applyFill="1" applyBorder="1" applyAlignment="1">
      <alignment horizontal="center" wrapText="1"/>
    </xf>
    <xf numFmtId="0" fontId="41" fillId="3" borderId="66" xfId="0" applyFont="1" applyFill="1" applyBorder="1" applyAlignment="1">
      <alignment horizontal="center" vertical="center"/>
    </xf>
    <xf numFmtId="0" fontId="19" fillId="3" borderId="66" xfId="0" applyFont="1" applyFill="1" applyBorder="1" applyAlignment="1">
      <alignment horizontal="center"/>
    </xf>
    <xf numFmtId="0" fontId="19" fillId="3" borderId="67" xfId="0" applyFont="1" applyFill="1" applyBorder="1" applyAlignment="1">
      <alignment horizontal="center" wrapText="1"/>
    </xf>
    <xf numFmtId="0" fontId="12" fillId="3" borderId="68" xfId="0" applyFont="1" applyFill="1" applyBorder="1" applyAlignment="1">
      <alignment horizontal="center"/>
    </xf>
    <xf numFmtId="9" fontId="19" fillId="3" borderId="16" xfId="0" applyNumberFormat="1" applyFont="1" applyFill="1" applyBorder="1" applyAlignment="1">
      <alignment horizontal="center" wrapText="1"/>
    </xf>
    <xf numFmtId="166" fontId="24" fillId="3" borderId="16" xfId="1" applyNumberFormat="1" applyFont="1" applyFill="1" applyBorder="1" applyAlignment="1">
      <alignment vertical="center"/>
    </xf>
    <xf numFmtId="166" fontId="19" fillId="3" borderId="69" xfId="0" applyNumberFormat="1" applyFont="1" applyFill="1" applyBorder="1" applyAlignment="1">
      <alignment horizontal="center" vertical="center" wrapText="1"/>
    </xf>
    <xf numFmtId="0" fontId="19" fillId="3" borderId="68" xfId="0" applyFont="1" applyFill="1" applyBorder="1" applyAlignment="1">
      <alignment horizontal="center" wrapText="1"/>
    </xf>
    <xf numFmtId="166" fontId="19" fillId="3" borderId="16" xfId="0" applyNumberFormat="1" applyFont="1" applyFill="1" applyBorder="1" applyAlignment="1">
      <alignment wrapText="1"/>
    </xf>
    <xf numFmtId="166" fontId="19" fillId="3" borderId="69" xfId="0" applyNumberFormat="1" applyFont="1" applyFill="1" applyBorder="1" applyAlignment="1">
      <alignment wrapText="1"/>
    </xf>
    <xf numFmtId="0" fontId="19" fillId="3" borderId="70" xfId="0" applyFont="1" applyFill="1" applyBorder="1" applyAlignment="1">
      <alignment horizontal="center" wrapText="1"/>
    </xf>
    <xf numFmtId="9" fontId="19" fillId="3" borderId="71" xfId="0" applyNumberFormat="1" applyFont="1" applyFill="1" applyBorder="1" applyAlignment="1">
      <alignment horizontal="center" wrapText="1"/>
    </xf>
    <xf numFmtId="166" fontId="19" fillId="3" borderId="71" xfId="0" applyNumberFormat="1" applyFont="1" applyFill="1" applyBorder="1" applyAlignment="1">
      <alignment wrapText="1"/>
    </xf>
    <xf numFmtId="166" fontId="19" fillId="3" borderId="72" xfId="0" applyNumberFormat="1" applyFont="1" applyFill="1" applyBorder="1" applyAlignment="1">
      <alignment wrapText="1"/>
    </xf>
    <xf numFmtId="0" fontId="24" fillId="3" borderId="68" xfId="0" applyFont="1" applyFill="1" applyBorder="1"/>
    <xf numFmtId="0" fontId="19" fillId="3" borderId="20" xfId="0" applyFont="1" applyFill="1" applyBorder="1" applyAlignment="1">
      <alignment horizontal="center" wrapText="1"/>
    </xf>
    <xf numFmtId="9" fontId="19" fillId="3" borderId="0" xfId="2" applyFont="1" applyFill="1" applyBorder="1" applyAlignment="1">
      <alignment horizontal="center" wrapText="1"/>
    </xf>
    <xf numFmtId="166" fontId="19" fillId="3" borderId="0" xfId="1" applyNumberFormat="1" applyFont="1" applyFill="1" applyBorder="1" applyAlignment="1">
      <alignment wrapText="1"/>
    </xf>
    <xf numFmtId="166" fontId="19" fillId="3" borderId="21" xfId="1" applyNumberFormat="1" applyFont="1" applyFill="1" applyBorder="1" applyAlignment="1">
      <alignment wrapText="1"/>
    </xf>
    <xf numFmtId="9" fontId="24" fillId="3" borderId="16" xfId="2" applyFont="1" applyFill="1" applyBorder="1" applyAlignment="1">
      <alignment horizontal="center" vertical="center"/>
    </xf>
    <xf numFmtId="9" fontId="19" fillId="3" borderId="0" xfId="0" applyNumberFormat="1" applyFont="1" applyFill="1" applyAlignment="1">
      <alignment horizontal="center" wrapText="1"/>
    </xf>
    <xf numFmtId="166" fontId="19" fillId="3" borderId="21" xfId="0" applyNumberFormat="1" applyFont="1" applyFill="1" applyBorder="1" applyAlignment="1">
      <alignment wrapText="1"/>
    </xf>
    <xf numFmtId="0" fontId="12" fillId="3" borderId="20" xfId="0" applyFont="1" applyFill="1" applyBorder="1" applyAlignment="1">
      <alignment horizontal="center" vertical="center" wrapText="1"/>
    </xf>
    <xf numFmtId="9" fontId="19" fillId="3" borderId="0" xfId="0" applyNumberFormat="1" applyFont="1" applyFill="1" applyAlignment="1">
      <alignment horizontal="center" vertical="center" wrapText="1"/>
    </xf>
    <xf numFmtId="166" fontId="19" fillId="3" borderId="0" xfId="0" applyNumberFormat="1" applyFont="1" applyFill="1" applyAlignment="1">
      <alignment vertical="center" wrapText="1"/>
    </xf>
    <xf numFmtId="0" fontId="19" fillId="3" borderId="22" xfId="0" applyFont="1" applyFill="1" applyBorder="1" applyAlignment="1">
      <alignment horizontal="center" wrapText="1"/>
    </xf>
    <xf numFmtId="9" fontId="19" fillId="3" borderId="23" xfId="0" applyNumberFormat="1" applyFont="1" applyFill="1" applyBorder="1" applyAlignment="1">
      <alignment horizontal="center" vertical="center" wrapText="1"/>
    </xf>
    <xf numFmtId="166" fontId="19" fillId="3" borderId="23" xfId="0" applyNumberFormat="1" applyFont="1" applyFill="1" applyBorder="1" applyAlignment="1">
      <alignment wrapText="1"/>
    </xf>
    <xf numFmtId="166" fontId="19" fillId="3" borderId="23" xfId="0" applyNumberFormat="1" applyFont="1" applyFill="1" applyBorder="1" applyAlignment="1">
      <alignment vertical="center" wrapText="1"/>
    </xf>
    <xf numFmtId="166" fontId="19" fillId="3" borderId="24" xfId="0" applyNumberFormat="1" applyFont="1" applyFill="1" applyBorder="1" applyAlignment="1">
      <alignment wrapText="1"/>
    </xf>
    <xf numFmtId="166" fontId="19" fillId="3" borderId="0" xfId="1" applyNumberFormat="1" applyFont="1" applyFill="1" applyAlignment="1">
      <alignment wrapText="1"/>
    </xf>
    <xf numFmtId="165" fontId="19" fillId="3" borderId="0" xfId="0" applyNumberFormat="1" applyFont="1" applyFill="1" applyAlignment="1">
      <alignment wrapText="1"/>
    </xf>
    <xf numFmtId="0" fontId="19" fillId="3" borderId="18" xfId="0" applyFont="1" applyFill="1" applyBorder="1" applyAlignment="1">
      <alignment horizontal="center" wrapText="1"/>
    </xf>
    <xf numFmtId="0" fontId="19" fillId="3" borderId="19" xfId="0" applyFont="1" applyFill="1" applyBorder="1" applyAlignment="1">
      <alignment horizontal="center" wrapText="1"/>
    </xf>
    <xf numFmtId="166" fontId="19" fillId="3" borderId="21" xfId="1" applyNumberFormat="1" applyFont="1" applyFill="1" applyBorder="1" applyAlignment="1">
      <alignment horizontal="center" wrapText="1"/>
    </xf>
    <xf numFmtId="0" fontId="19" fillId="3" borderId="22" xfId="0" applyFont="1" applyFill="1" applyBorder="1" applyAlignment="1">
      <alignment wrapText="1"/>
    </xf>
    <xf numFmtId="165" fontId="19" fillId="3" borderId="0" xfId="1" applyFont="1" applyFill="1" applyAlignment="1">
      <alignment wrapText="1"/>
    </xf>
    <xf numFmtId="0" fontId="45" fillId="3" borderId="74" xfId="0" applyFont="1" applyFill="1" applyBorder="1"/>
    <xf numFmtId="0" fontId="19" fillId="3" borderId="75" xfId="0" applyFont="1" applyFill="1" applyBorder="1"/>
    <xf numFmtId="0" fontId="19" fillId="3" borderId="76" xfId="0" applyFont="1" applyFill="1" applyBorder="1"/>
    <xf numFmtId="0" fontId="41" fillId="3" borderId="77" xfId="0" applyFont="1" applyFill="1" applyBorder="1" applyAlignment="1">
      <alignment horizontal="center"/>
    </xf>
    <xf numFmtId="0" fontId="41" fillId="3" borderId="78" xfId="0" applyFont="1" applyFill="1" applyBorder="1" applyAlignment="1">
      <alignment horizontal="center"/>
    </xf>
    <xf numFmtId="0" fontId="41" fillId="3" borderId="78" xfId="0" applyFont="1" applyFill="1" applyBorder="1" applyAlignment="1">
      <alignment horizontal="center" vertical="center"/>
    </xf>
    <xf numFmtId="0" fontId="19" fillId="3" borderId="78" xfId="0" applyFont="1" applyFill="1" applyBorder="1" applyAlignment="1">
      <alignment horizontal="center"/>
    </xf>
    <xf numFmtId="0" fontId="42" fillId="3" borderId="78" xfId="0" applyFont="1" applyFill="1" applyBorder="1" applyAlignment="1">
      <alignment horizontal="center"/>
    </xf>
    <xf numFmtId="0" fontId="42" fillId="3" borderId="79" xfId="0" applyFont="1" applyFill="1" applyBorder="1" applyAlignment="1">
      <alignment horizontal="center"/>
    </xf>
    <xf numFmtId="0" fontId="24" fillId="3" borderId="77" xfId="0" applyFont="1" applyFill="1" applyBorder="1" applyAlignment="1">
      <alignment horizontal="center"/>
    </xf>
    <xf numFmtId="0" fontId="24" fillId="3" borderId="78" xfId="0" applyFont="1" applyFill="1" applyBorder="1"/>
    <xf numFmtId="166" fontId="24" fillId="3" borderId="78" xfId="1" applyNumberFormat="1" applyFont="1" applyFill="1" applyBorder="1" applyAlignment="1">
      <alignment horizontal="center" vertical="center"/>
    </xf>
    <xf numFmtId="166" fontId="19" fillId="3" borderId="78" xfId="0" applyNumberFormat="1" applyFont="1" applyFill="1" applyBorder="1"/>
    <xf numFmtId="9" fontId="24" fillId="3" borderId="78" xfId="0" applyNumberFormat="1" applyFont="1" applyFill="1" applyBorder="1"/>
    <xf numFmtId="0" fontId="46" fillId="3" borderId="79" xfId="0" applyFont="1" applyFill="1" applyBorder="1" applyAlignment="1">
      <alignment horizontal="center"/>
    </xf>
    <xf numFmtId="10" fontId="24" fillId="3" borderId="78" xfId="0" applyNumberFormat="1" applyFont="1" applyFill="1" applyBorder="1"/>
    <xf numFmtId="166" fontId="19" fillId="3" borderId="78" xfId="1" applyNumberFormat="1" applyFont="1" applyFill="1" applyBorder="1"/>
    <xf numFmtId="9" fontId="19" fillId="3" borderId="78" xfId="0" applyNumberFormat="1" applyFont="1" applyFill="1" applyBorder="1"/>
    <xf numFmtId="0" fontId="19" fillId="3" borderId="78" xfId="0" applyFont="1" applyFill="1" applyBorder="1"/>
    <xf numFmtId="9" fontId="19" fillId="3" borderId="78" xfId="2" applyFont="1" applyFill="1" applyBorder="1"/>
    <xf numFmtId="9" fontId="19" fillId="3" borderId="79" xfId="2" applyFont="1" applyFill="1" applyBorder="1" applyAlignment="1">
      <alignment horizontal="center"/>
    </xf>
    <xf numFmtId="167" fontId="19" fillId="3" borderId="78" xfId="2" applyNumberFormat="1" applyFont="1" applyFill="1" applyBorder="1"/>
    <xf numFmtId="0" fontId="19" fillId="3" borderId="81" xfId="0" applyFont="1" applyFill="1" applyBorder="1"/>
    <xf numFmtId="166" fontId="19" fillId="3" borderId="81" xfId="0" applyNumberFormat="1" applyFont="1" applyFill="1" applyBorder="1"/>
    <xf numFmtId="167" fontId="19" fillId="3" borderId="81" xfId="2" applyNumberFormat="1" applyFont="1" applyFill="1" applyBorder="1"/>
    <xf numFmtId="9" fontId="19" fillId="3" borderId="82" xfId="2" applyFont="1" applyFill="1" applyBorder="1" applyAlignment="1">
      <alignment horizontal="center"/>
    </xf>
    <xf numFmtId="166" fontId="47" fillId="3" borderId="81" xfId="0" applyNumberFormat="1" applyFont="1" applyFill="1" applyBorder="1"/>
    <xf numFmtId="0" fontId="19" fillId="3" borderId="57" xfId="0" applyFont="1" applyFill="1" applyBorder="1" applyAlignment="1">
      <alignment wrapText="1"/>
    </xf>
    <xf numFmtId="0" fontId="19" fillId="3" borderId="21" xfId="0" applyFont="1" applyFill="1" applyBorder="1" applyAlignment="1">
      <alignment wrapText="1"/>
    </xf>
    <xf numFmtId="0" fontId="19" fillId="3" borderId="23" xfId="0" applyFont="1" applyFill="1" applyBorder="1" applyAlignment="1">
      <alignment wrapText="1"/>
    </xf>
    <xf numFmtId="166" fontId="19" fillId="3" borderId="23" xfId="1" applyNumberFormat="1" applyFont="1" applyFill="1" applyBorder="1" applyAlignment="1">
      <alignment wrapText="1"/>
    </xf>
    <xf numFmtId="0" fontId="19" fillId="3" borderId="24" xfId="0" applyFont="1" applyFill="1" applyBorder="1" applyAlignment="1">
      <alignment wrapText="1"/>
    </xf>
    <xf numFmtId="0" fontId="19" fillId="3" borderId="74" xfId="0" applyFont="1" applyFill="1" applyBorder="1" applyAlignment="1">
      <alignment wrapText="1"/>
    </xf>
    <xf numFmtId="0" fontId="19" fillId="3" borderId="75" xfId="0" applyFont="1" applyFill="1" applyBorder="1" applyAlignment="1">
      <alignment wrapText="1"/>
    </xf>
    <xf numFmtId="0" fontId="42" fillId="3" borderId="75" xfId="0" applyFont="1" applyFill="1" applyBorder="1" applyAlignment="1">
      <alignment horizontal="center" wrapText="1"/>
    </xf>
    <xf numFmtId="166" fontId="42" fillId="3" borderId="77" xfId="1" applyNumberFormat="1" applyFont="1" applyFill="1" applyBorder="1" applyAlignment="1">
      <alignment wrapText="1"/>
    </xf>
    <xf numFmtId="166" fontId="19" fillId="3" borderId="78" xfId="1" applyNumberFormat="1" applyFont="1" applyFill="1" applyBorder="1" applyAlignment="1">
      <alignment wrapText="1"/>
    </xf>
    <xf numFmtId="166" fontId="12" fillId="3" borderId="77" xfId="1" applyNumberFormat="1" applyFont="1" applyFill="1" applyBorder="1" applyAlignment="1">
      <alignment vertical="center" wrapText="1"/>
    </xf>
    <xf numFmtId="166" fontId="12" fillId="3" borderId="78" xfId="1" applyNumberFormat="1" applyFont="1" applyFill="1" applyBorder="1" applyAlignment="1">
      <alignment vertical="center" wrapText="1"/>
    </xf>
    <xf numFmtId="166" fontId="40" fillId="3" borderId="78" xfId="1" applyNumberFormat="1" applyFont="1" applyFill="1" applyBorder="1" applyAlignment="1">
      <alignment horizontal="left" vertical="center" wrapText="1"/>
    </xf>
    <xf numFmtId="166" fontId="12" fillId="3" borderId="78" xfId="1" applyNumberFormat="1" applyFont="1" applyFill="1" applyBorder="1" applyAlignment="1">
      <alignment horizontal="center" vertical="center" wrapText="1"/>
    </xf>
    <xf numFmtId="0" fontId="19" fillId="3" borderId="79" xfId="0" applyFont="1" applyFill="1" applyBorder="1" applyAlignment="1">
      <alignment wrapText="1"/>
    </xf>
    <xf numFmtId="166" fontId="40" fillId="3" borderId="78" xfId="1" applyNumberFormat="1" applyFont="1" applyFill="1" applyBorder="1" applyAlignment="1">
      <alignment vertical="center" wrapText="1"/>
    </xf>
    <xf numFmtId="166" fontId="12" fillId="3" borderId="78" xfId="1" applyNumberFormat="1" applyFont="1" applyFill="1" applyBorder="1" applyAlignment="1">
      <alignment wrapText="1"/>
    </xf>
    <xf numFmtId="0" fontId="19" fillId="3" borderId="78" xfId="0" applyFont="1" applyFill="1" applyBorder="1" applyAlignment="1">
      <alignment wrapText="1"/>
    </xf>
    <xf numFmtId="0" fontId="12" fillId="3" borderId="78" xfId="0" applyFont="1" applyFill="1" applyBorder="1" applyAlignment="1">
      <alignment horizontal="left" wrapText="1"/>
    </xf>
    <xf numFmtId="0" fontId="19" fillId="3" borderId="77" xfId="0" applyFont="1" applyFill="1" applyBorder="1" applyAlignment="1">
      <alignment wrapText="1"/>
    </xf>
    <xf numFmtId="0" fontId="12" fillId="3" borderId="78" xfId="0" applyFont="1" applyFill="1" applyBorder="1" applyAlignment="1">
      <alignment wrapText="1"/>
    </xf>
    <xf numFmtId="166" fontId="12" fillId="3" borderId="79" xfId="1" applyNumberFormat="1" applyFont="1" applyFill="1" applyBorder="1" applyAlignment="1">
      <alignment wrapText="1"/>
    </xf>
    <xf numFmtId="166" fontId="12" fillId="3" borderId="77" xfId="1" applyNumberFormat="1" applyFont="1" applyFill="1" applyBorder="1" applyAlignment="1">
      <alignment wrapText="1"/>
    </xf>
    <xf numFmtId="166" fontId="40" fillId="3" borderId="78" xfId="1" applyNumberFormat="1" applyFont="1" applyFill="1" applyBorder="1" applyAlignment="1">
      <alignment wrapText="1"/>
    </xf>
    <xf numFmtId="166" fontId="42" fillId="3" borderId="78" xfId="1" applyNumberFormat="1" applyFont="1" applyFill="1" applyBorder="1" applyAlignment="1">
      <alignment wrapText="1"/>
    </xf>
    <xf numFmtId="166" fontId="12" fillId="3" borderId="78" xfId="1" applyNumberFormat="1" applyFont="1" applyFill="1" applyBorder="1" applyAlignment="1">
      <alignment horizontal="center" wrapText="1"/>
    </xf>
    <xf numFmtId="165" fontId="12" fillId="3" borderId="78" xfId="1" applyFont="1" applyFill="1" applyBorder="1" applyAlignment="1">
      <alignment wrapText="1"/>
    </xf>
    <xf numFmtId="165" fontId="12" fillId="3" borderId="78" xfId="1" applyFont="1" applyFill="1" applyBorder="1" applyAlignment="1">
      <alignment horizontal="center" wrapText="1"/>
    </xf>
    <xf numFmtId="166" fontId="19" fillId="3" borderId="79" xfId="1" applyNumberFormat="1" applyFont="1" applyFill="1" applyBorder="1" applyAlignment="1">
      <alignment horizontal="center" vertical="center" wrapText="1"/>
    </xf>
    <xf numFmtId="166" fontId="12" fillId="3" borderId="79" xfId="1" applyNumberFormat="1" applyFont="1" applyFill="1" applyBorder="1" applyAlignment="1">
      <alignment vertical="center" wrapText="1"/>
    </xf>
    <xf numFmtId="9" fontId="12" fillId="3" borderId="78" xfId="2" applyFont="1" applyFill="1" applyBorder="1" applyAlignment="1">
      <alignment vertical="center" wrapText="1"/>
    </xf>
    <xf numFmtId="9" fontId="12" fillId="3" borderId="78" xfId="2" applyFont="1" applyFill="1" applyBorder="1" applyAlignment="1">
      <alignment horizontal="center" vertical="center" wrapText="1"/>
    </xf>
    <xf numFmtId="166" fontId="24" fillId="3" borderId="79" xfId="1" applyNumberFormat="1" applyFont="1" applyFill="1" applyBorder="1" applyAlignment="1">
      <alignment vertical="center" wrapText="1"/>
    </xf>
    <xf numFmtId="166" fontId="41" fillId="3" borderId="77" xfId="1" applyNumberFormat="1" applyFont="1" applyFill="1" applyBorder="1" applyAlignment="1">
      <alignment wrapText="1"/>
    </xf>
    <xf numFmtId="165" fontId="19" fillId="3" borderId="78" xfId="0" applyNumberFormat="1" applyFont="1" applyFill="1" applyBorder="1" applyAlignment="1">
      <alignment wrapText="1"/>
    </xf>
    <xf numFmtId="0" fontId="19" fillId="3" borderId="80" xfId="0" applyFont="1" applyFill="1" applyBorder="1" applyAlignment="1">
      <alignment wrapText="1"/>
    </xf>
    <xf numFmtId="0" fontId="19" fillId="3" borderId="81" xfId="0" applyFont="1" applyFill="1" applyBorder="1" applyAlignment="1">
      <alignment wrapText="1"/>
    </xf>
    <xf numFmtId="165" fontId="19" fillId="3" borderId="81" xfId="0" applyNumberFormat="1" applyFont="1" applyFill="1" applyBorder="1" applyAlignment="1">
      <alignment wrapText="1"/>
    </xf>
    <xf numFmtId="166" fontId="19" fillId="3" borderId="81" xfId="1" applyNumberFormat="1" applyFont="1" applyFill="1" applyBorder="1" applyAlignment="1">
      <alignment wrapText="1"/>
    </xf>
    <xf numFmtId="0" fontId="19" fillId="3" borderId="82" xfId="0" applyFont="1" applyFill="1" applyBorder="1" applyAlignment="1">
      <alignment wrapText="1"/>
    </xf>
    <xf numFmtId="166" fontId="19" fillId="3" borderId="57" xfId="1" applyNumberFormat="1" applyFont="1" applyFill="1" applyBorder="1" applyAlignment="1">
      <alignment wrapText="1"/>
    </xf>
    <xf numFmtId="9" fontId="19" fillId="3" borderId="19" xfId="0" applyNumberFormat="1" applyFont="1" applyFill="1" applyBorder="1" applyAlignment="1">
      <alignment horizontal="center" vertical="center" wrapText="1"/>
    </xf>
    <xf numFmtId="10" fontId="19" fillId="3" borderId="0" xfId="0" applyNumberFormat="1" applyFont="1" applyFill="1" applyAlignment="1">
      <alignment wrapText="1"/>
    </xf>
    <xf numFmtId="0" fontId="19" fillId="3" borderId="0" xfId="0" applyFont="1" applyFill="1" applyAlignment="1">
      <alignment horizontal="center" wrapText="1"/>
    </xf>
    <xf numFmtId="167" fontId="19" fillId="3" borderId="21" xfId="2" applyNumberFormat="1" applyFont="1" applyFill="1" applyBorder="1" applyAlignment="1">
      <alignment wrapText="1"/>
    </xf>
    <xf numFmtId="9" fontId="19" fillId="3" borderId="21" xfId="0" applyNumberFormat="1" applyFont="1" applyFill="1" applyBorder="1" applyAlignment="1">
      <alignment wrapText="1"/>
    </xf>
    <xf numFmtId="10" fontId="24" fillId="3" borderId="0" xfId="2" applyNumberFormat="1" applyFont="1" applyFill="1"/>
    <xf numFmtId="0" fontId="24" fillId="3" borderId="78" xfId="0" applyFont="1" applyFill="1" applyBorder="1" applyAlignment="1">
      <alignment horizontal="center"/>
    </xf>
    <xf numFmtId="0" fontId="24" fillId="3" borderId="79" xfId="0" applyFont="1" applyFill="1" applyBorder="1" applyAlignment="1">
      <alignment horizontal="center"/>
    </xf>
    <xf numFmtId="166" fontId="24" fillId="3" borderId="78" xfId="1" applyNumberFormat="1" applyFont="1" applyFill="1" applyBorder="1"/>
    <xf numFmtId="166" fontId="24" fillId="3" borderId="78" xfId="0" applyNumberFormat="1" applyFont="1" applyFill="1" applyBorder="1"/>
    <xf numFmtId="0" fontId="24" fillId="3" borderId="79" xfId="0" applyFont="1" applyFill="1" applyBorder="1"/>
    <xf numFmtId="9" fontId="24" fillId="3" borderId="78" xfId="0" applyNumberFormat="1" applyFont="1" applyFill="1" applyBorder="1" applyAlignment="1">
      <alignment horizontal="center" vertical="center"/>
    </xf>
    <xf numFmtId="9" fontId="24" fillId="3" borderId="78" xfId="0" applyNumberFormat="1" applyFont="1" applyFill="1" applyBorder="1" applyAlignment="1">
      <alignment horizontal="center"/>
    </xf>
    <xf numFmtId="9" fontId="24" fillId="3" borderId="78" xfId="2" applyFont="1" applyFill="1" applyBorder="1"/>
    <xf numFmtId="166" fontId="24" fillId="3" borderId="79" xfId="0" applyNumberFormat="1" applyFont="1" applyFill="1" applyBorder="1"/>
    <xf numFmtId="0" fontId="24" fillId="3" borderId="78" xfId="0" applyFont="1" applyFill="1" applyBorder="1" applyAlignment="1">
      <alignment horizontal="center" vertical="center"/>
    </xf>
    <xf numFmtId="165" fontId="24" fillId="3" borderId="78" xfId="0" applyNumberFormat="1" applyFont="1" applyFill="1" applyBorder="1"/>
    <xf numFmtId="165" fontId="24" fillId="3" borderId="79" xfId="0" applyNumberFormat="1" applyFont="1" applyFill="1" applyBorder="1"/>
    <xf numFmtId="0" fontId="24" fillId="3" borderId="77" xfId="0" applyFont="1" applyFill="1" applyBorder="1" applyAlignment="1">
      <alignment horizontal="center" vertical="center"/>
    </xf>
    <xf numFmtId="0" fontId="24" fillId="3" borderId="78" xfId="0" applyFont="1" applyFill="1" applyBorder="1" applyAlignment="1">
      <alignment vertical="center"/>
    </xf>
    <xf numFmtId="166" fontId="24" fillId="3" borderId="78" xfId="1" applyNumberFormat="1" applyFont="1" applyFill="1" applyBorder="1" applyAlignment="1">
      <alignment vertical="center"/>
    </xf>
    <xf numFmtId="166" fontId="24" fillId="3" borderId="78" xfId="0" applyNumberFormat="1" applyFont="1" applyFill="1" applyBorder="1" applyAlignment="1">
      <alignment horizontal="center" vertical="center"/>
    </xf>
    <xf numFmtId="166" fontId="24" fillId="3" borderId="78" xfId="1" applyNumberFormat="1" applyFont="1" applyFill="1" applyBorder="1" applyAlignment="1">
      <alignment horizontal="center" vertical="center" wrapText="1"/>
    </xf>
    <xf numFmtId="166" fontId="24" fillId="3" borderId="78" xfId="0" applyNumberFormat="1" applyFont="1" applyFill="1" applyBorder="1" applyAlignment="1">
      <alignment vertical="center"/>
    </xf>
    <xf numFmtId="9" fontId="24" fillId="3" borderId="78" xfId="0" applyNumberFormat="1" applyFont="1" applyFill="1" applyBorder="1" applyAlignment="1">
      <alignment vertical="center"/>
    </xf>
    <xf numFmtId="165" fontId="24" fillId="3" borderId="78" xfId="0" applyNumberFormat="1" applyFont="1" applyFill="1" applyBorder="1" applyAlignment="1">
      <alignment vertical="center"/>
    </xf>
    <xf numFmtId="165" fontId="24" fillId="3" borderId="78" xfId="0" applyNumberFormat="1" applyFont="1" applyFill="1" applyBorder="1" applyAlignment="1">
      <alignment horizontal="center" vertical="center"/>
    </xf>
    <xf numFmtId="165" fontId="24" fillId="3" borderId="79" xfId="0" applyNumberFormat="1" applyFont="1" applyFill="1" applyBorder="1" applyAlignment="1">
      <alignment vertical="center"/>
    </xf>
    <xf numFmtId="166" fontId="24" fillId="3" borderId="78" xfId="1" applyNumberFormat="1" applyFont="1" applyFill="1" applyBorder="1" applyAlignment="1">
      <alignment vertical="center" wrapText="1"/>
    </xf>
    <xf numFmtId="166" fontId="24" fillId="3" borderId="78" xfId="1" applyNumberFormat="1" applyFont="1" applyFill="1" applyBorder="1" applyAlignment="1">
      <alignment wrapText="1"/>
    </xf>
    <xf numFmtId="166" fontId="24" fillId="3" borderId="78" xfId="0" applyNumberFormat="1" applyFont="1" applyFill="1" applyBorder="1" applyAlignment="1">
      <alignment horizontal="center"/>
    </xf>
    <xf numFmtId="0" fontId="24" fillId="3" borderId="77" xfId="0" applyFont="1" applyFill="1" applyBorder="1"/>
    <xf numFmtId="0" fontId="41" fillId="3" borderId="78" xfId="0" applyFont="1" applyFill="1" applyBorder="1"/>
    <xf numFmtId="166" fontId="41" fillId="3" borderId="78" xfId="1" applyNumberFormat="1" applyFont="1" applyFill="1" applyBorder="1"/>
    <xf numFmtId="0" fontId="24" fillId="3" borderId="80" xfId="0" applyFont="1" applyFill="1" applyBorder="1"/>
    <xf numFmtId="0" fontId="24" fillId="3" borderId="81" xfId="0" applyFont="1" applyFill="1" applyBorder="1"/>
    <xf numFmtId="1" fontId="41" fillId="3" borderId="81" xfId="0" applyNumberFormat="1" applyFont="1" applyFill="1" applyBorder="1"/>
    <xf numFmtId="0" fontId="24" fillId="3" borderId="82" xfId="0" applyFont="1" applyFill="1" applyBorder="1"/>
    <xf numFmtId="0" fontId="24" fillId="3" borderId="0" xfId="0" applyFont="1" applyFill="1" applyAlignment="1">
      <alignment vertical="center" wrapText="1"/>
    </xf>
    <xf numFmtId="0" fontId="24" fillId="3" borderId="78" xfId="0" applyFont="1" applyFill="1" applyBorder="1" applyAlignment="1">
      <alignment vertical="center" wrapText="1"/>
    </xf>
    <xf numFmtId="0" fontId="41" fillId="3" borderId="78" xfId="0" applyFont="1" applyFill="1" applyBorder="1" applyAlignment="1">
      <alignment vertical="center" wrapText="1"/>
    </xf>
    <xf numFmtId="0" fontId="41" fillId="3" borderId="81" xfId="0" applyFont="1" applyFill="1" applyBorder="1" applyAlignment="1">
      <alignment vertical="center" wrapText="1"/>
    </xf>
    <xf numFmtId="0" fontId="20" fillId="2" borderId="78" xfId="0" applyFont="1" applyFill="1" applyBorder="1" applyAlignment="1">
      <alignment horizontal="center"/>
    </xf>
    <xf numFmtId="0" fontId="20" fillId="2" borderId="79" xfId="0" applyFont="1" applyFill="1" applyBorder="1" applyAlignment="1">
      <alignment horizontal="center"/>
    </xf>
    <xf numFmtId="3" fontId="48" fillId="2" borderId="86" xfId="0" applyNumberFormat="1" applyFont="1" applyFill="1" applyBorder="1" applyAlignment="1">
      <alignment horizontal="center" vertical="center" wrapText="1"/>
    </xf>
    <xf numFmtId="3" fontId="48" fillId="2" borderId="87" xfId="0" applyNumberFormat="1" applyFont="1" applyFill="1" applyBorder="1" applyAlignment="1">
      <alignment horizontal="center" vertical="center" wrapText="1"/>
    </xf>
    <xf numFmtId="0" fontId="3" fillId="2" borderId="87" xfId="0" applyFont="1" applyFill="1" applyBorder="1" applyAlignment="1">
      <alignment horizontal="center"/>
    </xf>
    <xf numFmtId="0" fontId="3" fillId="2" borderId="88" xfId="0" applyFont="1" applyFill="1" applyBorder="1" applyAlignment="1">
      <alignment horizontal="center"/>
    </xf>
    <xf numFmtId="0" fontId="41" fillId="3" borderId="86" xfId="0" applyFont="1" applyFill="1" applyBorder="1" applyAlignment="1">
      <alignment horizontal="center" vertical="center"/>
    </xf>
    <xf numFmtId="0" fontId="24" fillId="3" borderId="87" xfId="0" applyFont="1" applyFill="1" applyBorder="1" applyAlignment="1">
      <alignment vertical="center" wrapText="1"/>
    </xf>
    <xf numFmtId="0" fontId="24" fillId="3" borderId="88" xfId="0" quotePrefix="1" applyFont="1" applyFill="1" applyBorder="1" applyAlignment="1">
      <alignment wrapText="1"/>
    </xf>
    <xf numFmtId="0" fontId="24" fillId="3" borderId="87" xfId="0" applyFont="1" applyFill="1" applyBorder="1" applyAlignment="1">
      <alignment vertical="center"/>
    </xf>
    <xf numFmtId="0" fontId="24" fillId="3" borderId="88" xfId="0" applyFont="1" applyFill="1" applyBorder="1" applyAlignment="1">
      <alignment wrapText="1"/>
    </xf>
    <xf numFmtId="0" fontId="41" fillId="3" borderId="89" xfId="0" applyFont="1" applyFill="1" applyBorder="1" applyAlignment="1">
      <alignment horizontal="center" vertical="center"/>
    </xf>
    <xf numFmtId="0" fontId="24" fillId="3" borderId="90" xfId="0" applyFont="1" applyFill="1" applyBorder="1" applyAlignment="1">
      <alignment vertical="center" wrapText="1"/>
    </xf>
    <xf numFmtId="0" fontId="24" fillId="3" borderId="90" xfId="0" applyFont="1" applyFill="1" applyBorder="1" applyAlignment="1">
      <alignment wrapText="1"/>
    </xf>
    <xf numFmtId="0" fontId="24" fillId="3" borderId="91" xfId="0" applyFont="1" applyFill="1" applyBorder="1" applyAlignment="1">
      <alignment wrapText="1"/>
    </xf>
    <xf numFmtId="0" fontId="15" fillId="2" borderId="83" xfId="0" applyFont="1" applyFill="1" applyBorder="1" applyAlignment="1">
      <alignment horizontal="center"/>
    </xf>
    <xf numFmtId="166" fontId="24" fillId="3" borderId="79" xfId="0" applyNumberFormat="1" applyFont="1" applyFill="1" applyBorder="1" applyAlignment="1">
      <alignment vertical="center"/>
    </xf>
    <xf numFmtId="166" fontId="0" fillId="0" borderId="0" xfId="1" applyNumberFormat="1" applyFont="1"/>
    <xf numFmtId="166" fontId="0" fillId="0" borderId="0" xfId="0" applyNumberFormat="1"/>
    <xf numFmtId="0" fontId="49" fillId="0" borderId="0" xfId="0" applyFont="1"/>
    <xf numFmtId="0" fontId="0" fillId="0" borderId="25" xfId="0" applyBorder="1"/>
    <xf numFmtId="0" fontId="0" fillId="0" borderId="26" xfId="0" applyBorder="1"/>
    <xf numFmtId="164" fontId="49" fillId="2" borderId="18" xfId="0" applyNumberFormat="1" applyFont="1" applyFill="1" applyBorder="1" applyAlignment="1">
      <alignment vertical="center"/>
    </xf>
    <xf numFmtId="164" fontId="49" fillId="2" borderId="57" xfId="0" applyNumberFormat="1" applyFont="1" applyFill="1" applyBorder="1" applyAlignment="1">
      <alignment vertical="center"/>
    </xf>
    <xf numFmtId="164" fontId="49" fillId="2" borderId="19" xfId="0" applyNumberFormat="1" applyFont="1" applyFill="1" applyBorder="1" applyAlignment="1">
      <alignment vertical="center"/>
    </xf>
    <xf numFmtId="164" fontId="49" fillId="2" borderId="20" xfId="0" applyNumberFormat="1" applyFont="1" applyFill="1" applyBorder="1" applyAlignment="1">
      <alignment vertical="center"/>
    </xf>
    <xf numFmtId="164" fontId="49" fillId="2" borderId="0" xfId="0" applyNumberFormat="1" applyFont="1" applyFill="1" applyAlignment="1">
      <alignment vertical="center"/>
    </xf>
    <xf numFmtId="164" fontId="49" fillId="2" borderId="21" xfId="0" applyNumberFormat="1" applyFont="1" applyFill="1" applyBorder="1" applyAlignment="1">
      <alignment vertical="center"/>
    </xf>
    <xf numFmtId="164" fontId="49" fillId="2" borderId="22" xfId="0" applyNumberFormat="1" applyFont="1" applyFill="1" applyBorder="1" applyAlignment="1">
      <alignment vertical="center"/>
    </xf>
    <xf numFmtId="164" fontId="49" fillId="2" borderId="23" xfId="0" applyNumberFormat="1" applyFont="1" applyFill="1" applyBorder="1" applyAlignment="1">
      <alignment vertical="center"/>
    </xf>
    <xf numFmtId="164" fontId="49" fillId="2" borderId="24" xfId="0" applyNumberFormat="1" applyFont="1" applyFill="1" applyBorder="1" applyAlignment="1">
      <alignment vertical="center"/>
    </xf>
    <xf numFmtId="0" fontId="19" fillId="7" borderId="20" xfId="7" applyFont="1" applyBorder="1" applyAlignment="1">
      <alignment horizontal="center" vertical="center" wrapText="1"/>
    </xf>
    <xf numFmtId="0" fontId="16" fillId="2" borderId="22" xfId="7" quotePrefix="1" applyFont="1" applyFill="1" applyBorder="1" applyAlignment="1">
      <alignment horizontal="center" vertical="center" wrapText="1"/>
    </xf>
    <xf numFmtId="0" fontId="16" fillId="2" borderId="23" xfId="7" applyFont="1" applyFill="1" applyBorder="1" applyAlignment="1">
      <alignment horizontal="center" vertical="center" wrapText="1"/>
    </xf>
    <xf numFmtId="0" fontId="17" fillId="2" borderId="23" xfId="7" applyFont="1" applyFill="1" applyBorder="1" applyAlignment="1">
      <alignment horizontal="center" vertical="center" wrapText="1"/>
    </xf>
    <xf numFmtId="0" fontId="16" fillId="2" borderId="24" xfId="7" applyFont="1" applyFill="1" applyBorder="1" applyAlignment="1">
      <alignment horizontal="center" vertical="center" wrapText="1"/>
    </xf>
    <xf numFmtId="3" fontId="19" fillId="2" borderId="0" xfId="7" applyNumberFormat="1" applyFont="1" applyFill="1" applyAlignment="1">
      <alignment horizontal="center" vertical="center" wrapText="1"/>
    </xf>
    <xf numFmtId="3" fontId="55" fillId="2" borderId="23" xfId="9" applyNumberFormat="1" applyFont="1" applyFill="1" applyBorder="1" applyAlignment="1">
      <alignment horizontal="center" vertical="center" wrapText="1"/>
    </xf>
    <xf numFmtId="0" fontId="19" fillId="3" borderId="28" xfId="9" applyFont="1" applyFill="1" applyBorder="1" applyAlignment="1">
      <alignment horizontal="left" vertical="center" wrapText="1"/>
    </xf>
    <xf numFmtId="0" fontId="19" fillId="3" borderId="29" xfId="7" applyFont="1" applyFill="1" applyBorder="1" applyAlignment="1">
      <alignment horizontal="left" vertical="center" wrapText="1"/>
    </xf>
    <xf numFmtId="0" fontId="19" fillId="7" borderId="29" xfId="7" applyFont="1" applyBorder="1" applyAlignment="1">
      <alignment horizontal="center" vertical="center" wrapText="1"/>
    </xf>
    <xf numFmtId="0" fontId="19" fillId="3" borderId="30" xfId="7" applyFont="1" applyFill="1" applyBorder="1" applyAlignment="1">
      <alignment horizontal="center" vertical="center" wrapText="1"/>
    </xf>
    <xf numFmtId="0" fontId="19" fillId="3" borderId="29" xfId="7" applyFont="1" applyFill="1" applyBorder="1" applyAlignment="1">
      <alignment horizontal="center" vertical="center" wrapText="1"/>
    </xf>
    <xf numFmtId="0" fontId="19" fillId="3" borderId="22" xfId="7" applyFont="1" applyFill="1" applyBorder="1" applyAlignment="1">
      <alignment horizontal="center" vertical="center" wrapText="1"/>
    </xf>
    <xf numFmtId="0" fontId="19" fillId="3" borderId="28" xfId="7" applyFont="1" applyFill="1" applyBorder="1" applyAlignment="1">
      <alignment horizontal="center" vertical="center" wrapText="1"/>
    </xf>
    <xf numFmtId="3" fontId="19" fillId="3" borderId="29" xfId="7" applyNumberFormat="1" applyFont="1" applyFill="1" applyBorder="1" applyAlignment="1">
      <alignment horizontal="center" vertical="center" wrapText="1"/>
    </xf>
    <xf numFmtId="3" fontId="19" fillId="7" borderId="29" xfId="7" applyNumberFormat="1" applyFont="1" applyBorder="1" applyAlignment="1">
      <alignment horizontal="center" vertical="center" wrapText="1"/>
    </xf>
    <xf numFmtId="3" fontId="19" fillId="3" borderId="30" xfId="7" applyNumberFormat="1" applyFont="1" applyFill="1" applyBorder="1" applyAlignment="1">
      <alignment horizontal="center" vertical="center" wrapText="1"/>
    </xf>
    <xf numFmtId="166" fontId="19" fillId="3" borderId="28" xfId="1" applyNumberFormat="1" applyFont="1" applyFill="1" applyBorder="1" applyAlignment="1">
      <alignment horizontal="right" vertical="center" wrapText="1"/>
    </xf>
    <xf numFmtId="172" fontId="42" fillId="3" borderId="29" xfId="8" applyNumberFormat="1" applyFont="1" applyFill="1" applyBorder="1" applyAlignment="1">
      <alignment horizontal="center" vertical="center" wrapText="1"/>
    </xf>
    <xf numFmtId="172" fontId="19" fillId="7" borderId="29" xfId="8" applyNumberFormat="1" applyFont="1" applyFill="1" applyBorder="1" applyAlignment="1">
      <alignment horizontal="center" vertical="center" wrapText="1"/>
    </xf>
    <xf numFmtId="172" fontId="42" fillId="3" borderId="30" xfId="8" applyNumberFormat="1" applyFont="1" applyFill="1" applyBorder="1" applyAlignment="1">
      <alignment horizontal="center" vertical="center" wrapText="1"/>
    </xf>
    <xf numFmtId="164" fontId="49" fillId="2" borderId="17" xfId="0" applyNumberFormat="1" applyFont="1" applyFill="1" applyBorder="1" applyAlignment="1">
      <alignment vertical="center"/>
    </xf>
    <xf numFmtId="0" fontId="51" fillId="0" borderId="0" xfId="0" applyFont="1"/>
    <xf numFmtId="0" fontId="24" fillId="3" borderId="0" xfId="7" applyFont="1" applyFill="1" applyAlignment="1">
      <alignment horizontal="center" vertical="center" wrapText="1"/>
    </xf>
    <xf numFmtId="0" fontId="24" fillId="3" borderId="28" xfId="9" applyFont="1" applyFill="1" applyBorder="1" applyAlignment="1">
      <alignment horizontal="center" vertical="center" wrapText="1"/>
    </xf>
    <xf numFmtId="42" fontId="24" fillId="3" borderId="0" xfId="7" applyNumberFormat="1" applyFont="1" applyFill="1" applyAlignment="1">
      <alignment horizontal="center" vertical="center" wrapText="1"/>
    </xf>
    <xf numFmtId="0" fontId="24" fillId="3" borderId="29" xfId="9" applyFont="1" applyFill="1" applyBorder="1" applyAlignment="1">
      <alignment horizontal="center" vertical="center" wrapText="1"/>
    </xf>
    <xf numFmtId="0" fontId="24" fillId="3" borderId="20" xfId="9" applyFont="1" applyFill="1" applyBorder="1" applyAlignment="1">
      <alignment horizontal="center" vertical="center" wrapText="1"/>
    </xf>
    <xf numFmtId="0" fontId="24" fillId="3" borderId="0" xfId="9" applyFont="1" applyFill="1" applyAlignment="1">
      <alignment horizontal="center" vertical="center" wrapText="1"/>
    </xf>
    <xf numFmtId="0" fontId="24" fillId="3" borderId="21" xfId="9" applyFont="1" applyFill="1" applyBorder="1" applyAlignment="1">
      <alignment horizontal="center" vertical="center" wrapText="1"/>
    </xf>
    <xf numFmtId="1" fontId="24" fillId="3" borderId="20" xfId="7" applyNumberFormat="1" applyFont="1" applyFill="1" applyBorder="1" applyAlignment="1">
      <alignment horizontal="center" vertical="center" wrapText="1"/>
    </xf>
    <xf numFmtId="1" fontId="24" fillId="3" borderId="0" xfId="7" applyNumberFormat="1" applyFont="1" applyFill="1" applyAlignment="1">
      <alignment horizontal="center" vertical="center" wrapText="1"/>
    </xf>
    <xf numFmtId="1" fontId="24" fillId="3" borderId="21" xfId="7" applyNumberFormat="1" applyFont="1" applyFill="1" applyBorder="1" applyAlignment="1">
      <alignment horizontal="center" vertical="center" wrapText="1"/>
    </xf>
    <xf numFmtId="0" fontId="24" fillId="3" borderId="30" xfId="9" applyFont="1" applyFill="1" applyBorder="1" applyAlignment="1">
      <alignment horizontal="center" vertical="center" wrapText="1"/>
    </xf>
    <xf numFmtId="0" fontId="24" fillId="3" borderId="22" xfId="9" applyFont="1" applyFill="1" applyBorder="1" applyAlignment="1">
      <alignment horizontal="center" vertical="center" wrapText="1"/>
    </xf>
    <xf numFmtId="0" fontId="24" fillId="3" borderId="23" xfId="9" applyFont="1" applyFill="1" applyBorder="1" applyAlignment="1">
      <alignment horizontal="center" vertical="center" wrapText="1"/>
    </xf>
    <xf numFmtId="0" fontId="24" fillId="3" borderId="24" xfId="9" applyFont="1" applyFill="1" applyBorder="1" applyAlignment="1">
      <alignment horizontal="center" vertical="center" wrapText="1"/>
    </xf>
    <xf numFmtId="0" fontId="24" fillId="3" borderId="22" xfId="7" quotePrefix="1" applyFont="1" applyFill="1" applyBorder="1" applyAlignment="1">
      <alignment horizontal="center" vertical="center" wrapText="1"/>
    </xf>
    <xf numFmtId="0" fontId="24" fillId="3" borderId="23" xfId="7" quotePrefix="1" applyFont="1" applyFill="1" applyBorder="1" applyAlignment="1">
      <alignment horizontal="center" vertical="center" wrapText="1"/>
    </xf>
    <xf numFmtId="0" fontId="24" fillId="3" borderId="24" xfId="7" quotePrefix="1" applyFont="1" applyFill="1" applyBorder="1" applyAlignment="1">
      <alignment horizontal="center" vertical="center" wrapText="1"/>
    </xf>
    <xf numFmtId="0" fontId="41" fillId="3" borderId="17" xfId="7" applyFont="1" applyFill="1" applyBorder="1" applyAlignment="1">
      <alignment horizontal="center" vertical="center" wrapText="1"/>
    </xf>
    <xf numFmtId="0" fontId="41" fillId="3" borderId="29" xfId="7" applyFont="1" applyFill="1" applyBorder="1" applyAlignment="1">
      <alignment horizontal="center" vertical="center" wrapText="1"/>
    </xf>
    <xf numFmtId="0" fontId="41" fillId="3" borderId="0" xfId="7" applyFont="1" applyFill="1" applyAlignment="1">
      <alignment horizontal="center" vertical="center" wrapText="1"/>
    </xf>
    <xf numFmtId="3" fontId="41" fillId="3" borderId="0" xfId="7" applyNumberFormat="1" applyFont="1" applyFill="1" applyAlignment="1">
      <alignment horizontal="center" vertical="center" wrapText="1"/>
    </xf>
    <xf numFmtId="172" fontId="41" fillId="3" borderId="21" xfId="8" applyNumberFormat="1" applyFont="1" applyFill="1" applyBorder="1" applyAlignment="1">
      <alignment horizontal="center" vertical="center" wrapText="1"/>
    </xf>
    <xf numFmtId="42" fontId="24" fillId="3" borderId="21" xfId="7" applyNumberFormat="1" applyFont="1" applyFill="1" applyBorder="1" applyAlignment="1">
      <alignment horizontal="center" vertical="center" wrapText="1"/>
    </xf>
    <xf numFmtId="0" fontId="51" fillId="0" borderId="16" xfId="0" applyFont="1" applyBorder="1"/>
    <xf numFmtId="166" fontId="51" fillId="0" borderId="16" xfId="1" applyNumberFormat="1" applyFont="1" applyBorder="1" applyAlignment="1">
      <alignment horizontal="center" vertical="center"/>
    </xf>
    <xf numFmtId="166" fontId="51" fillId="0" borderId="16" xfId="0" applyNumberFormat="1" applyFont="1" applyBorder="1"/>
    <xf numFmtId="165" fontId="51" fillId="0" borderId="16" xfId="0" applyNumberFormat="1" applyFont="1" applyBorder="1"/>
    <xf numFmtId="0" fontId="56" fillId="10" borderId="16" xfId="0" applyFont="1" applyFill="1" applyBorder="1"/>
    <xf numFmtId="0" fontId="56" fillId="10" borderId="16" xfId="0" applyFont="1" applyFill="1" applyBorder="1" applyAlignment="1">
      <alignment horizontal="center" vertical="center"/>
    </xf>
    <xf numFmtId="0" fontId="51" fillId="0" borderId="16" xfId="0" applyFont="1" applyBorder="1" applyAlignment="1">
      <alignment horizontal="center"/>
    </xf>
    <xf numFmtId="0" fontId="56" fillId="10" borderId="16" xfId="0" applyFont="1" applyFill="1" applyBorder="1" applyAlignment="1">
      <alignment horizontal="center"/>
    </xf>
    <xf numFmtId="9" fontId="51" fillId="0" borderId="16" xfId="2" applyFont="1" applyBorder="1" applyAlignment="1">
      <alignment horizontal="center"/>
    </xf>
    <xf numFmtId="166" fontId="51" fillId="0" borderId="16" xfId="1" applyNumberFormat="1" applyFont="1" applyBorder="1" applyAlignment="1">
      <alignment horizontal="center"/>
    </xf>
    <xf numFmtId="9" fontId="56" fillId="0" borderId="0" xfId="2" applyFont="1"/>
    <xf numFmtId="9" fontId="51" fillId="0" borderId="16" xfId="0" applyNumberFormat="1" applyFont="1" applyBorder="1" applyAlignment="1">
      <alignment horizontal="center"/>
    </xf>
    <xf numFmtId="0" fontId="51" fillId="9" borderId="16" xfId="0" applyFont="1" applyFill="1" applyBorder="1" applyAlignment="1">
      <alignment horizontal="center"/>
    </xf>
    <xf numFmtId="165" fontId="51" fillId="9" borderId="16" xfId="0" applyNumberFormat="1" applyFont="1" applyFill="1" applyBorder="1"/>
    <xf numFmtId="166" fontId="51" fillId="9" borderId="16" xfId="1" applyNumberFormat="1" applyFont="1" applyFill="1" applyBorder="1"/>
    <xf numFmtId="9" fontId="0" fillId="0" borderId="0" xfId="2" applyFont="1"/>
    <xf numFmtId="0" fontId="0" fillId="0" borderId="0" xfId="0" applyAlignment="1">
      <alignment horizontal="center"/>
    </xf>
    <xf numFmtId="166" fontId="0" fillId="0" borderId="0" xfId="1" applyNumberFormat="1" applyFont="1" applyAlignment="1">
      <alignment vertical="center"/>
    </xf>
    <xf numFmtId="9" fontId="0" fillId="0" borderId="0" xfId="2" applyFont="1" applyAlignment="1">
      <alignment vertical="center"/>
    </xf>
    <xf numFmtId="166" fontId="0" fillId="0" borderId="0" xfId="1" applyNumberFormat="1" applyFont="1" applyAlignment="1">
      <alignment horizontal="center" vertical="center"/>
    </xf>
    <xf numFmtId="172" fontId="42" fillId="4" borderId="25" xfId="7" quotePrefix="1" applyNumberFormat="1" applyFont="1" applyFill="1" applyBorder="1" applyAlignment="1">
      <alignment horizontal="center" vertical="center" wrapText="1"/>
    </xf>
    <xf numFmtId="172" fontId="42" fillId="4" borderId="26" xfId="7" quotePrefix="1" applyNumberFormat="1" applyFont="1" applyFill="1" applyBorder="1" applyAlignment="1">
      <alignment horizontal="center" vertical="center" wrapText="1"/>
    </xf>
    <xf numFmtId="172" fontId="42" fillId="4" borderId="27" xfId="7" quotePrefix="1" applyNumberFormat="1" applyFont="1" applyFill="1" applyBorder="1" applyAlignment="1">
      <alignment horizontal="center" vertical="center" wrapText="1"/>
    </xf>
    <xf numFmtId="172" fontId="19" fillId="0" borderId="25" xfId="7" quotePrefix="1" applyNumberFormat="1" applyFont="1" applyFill="1" applyBorder="1" applyAlignment="1">
      <alignment horizontal="center" vertical="center" wrapText="1"/>
    </xf>
    <xf numFmtId="172" fontId="19" fillId="0" borderId="26" xfId="7" quotePrefix="1" applyNumberFormat="1" applyFont="1" applyFill="1" applyBorder="1" applyAlignment="1">
      <alignment horizontal="center" vertical="center" wrapText="1"/>
    </xf>
    <xf numFmtId="0" fontId="42" fillId="0" borderId="77" xfId="7" applyFont="1" applyFill="1" applyBorder="1" applyAlignment="1">
      <alignment horizontal="left" vertical="center" wrapText="1"/>
    </xf>
    <xf numFmtId="0" fontId="42" fillId="3" borderId="74" xfId="7" applyFont="1" applyFill="1" applyBorder="1" applyAlignment="1">
      <alignment horizontal="left" vertical="center" wrapText="1"/>
    </xf>
    <xf numFmtId="0" fontId="42" fillId="3" borderId="77" xfId="7" applyFont="1" applyFill="1" applyBorder="1" applyAlignment="1">
      <alignment horizontal="left" vertical="center" wrapText="1"/>
    </xf>
    <xf numFmtId="166" fontId="19" fillId="3" borderId="0" xfId="1" applyNumberFormat="1" applyFont="1" applyFill="1" applyBorder="1" applyAlignment="1">
      <alignment horizontal="center" vertical="center" wrapText="1"/>
    </xf>
    <xf numFmtId="0" fontId="42" fillId="4" borderId="23" xfId="7" applyFont="1" applyFill="1" applyBorder="1" applyAlignment="1">
      <alignment horizontal="center" vertical="center" wrapText="1"/>
    </xf>
    <xf numFmtId="174" fontId="19" fillId="0" borderId="22" xfId="7" quotePrefix="1" applyNumberFormat="1" applyFont="1" applyFill="1" applyBorder="1" applyAlignment="1">
      <alignment horizontal="center" vertical="center" wrapText="1"/>
    </xf>
    <xf numFmtId="174" fontId="19" fillId="0" borderId="23" xfId="7" quotePrefix="1" applyNumberFormat="1" applyFont="1" applyFill="1" applyBorder="1" applyAlignment="1">
      <alignment horizontal="center" vertical="center" wrapText="1"/>
    </xf>
    <xf numFmtId="174" fontId="19" fillId="0" borderId="24" xfId="7" quotePrefix="1" applyNumberFormat="1" applyFont="1" applyFill="1" applyBorder="1" applyAlignment="1">
      <alignment horizontal="center" vertical="center" wrapText="1"/>
    </xf>
    <xf numFmtId="174" fontId="19" fillId="0" borderId="20" xfId="7" quotePrefix="1" applyNumberFormat="1" applyFont="1" applyFill="1" applyBorder="1" applyAlignment="1">
      <alignment horizontal="center" vertical="center" wrapText="1"/>
    </xf>
    <xf numFmtId="174" fontId="19" fillId="0" borderId="0" xfId="7" quotePrefix="1" applyNumberFormat="1" applyFont="1" applyFill="1" applyAlignment="1">
      <alignment horizontal="center" vertical="center" wrapText="1"/>
    </xf>
    <xf numFmtId="174" fontId="19" fillId="0" borderId="21" xfId="7" quotePrefix="1" applyNumberFormat="1" applyFont="1" applyFill="1" applyBorder="1" applyAlignment="1">
      <alignment horizontal="center" vertical="center" wrapText="1"/>
    </xf>
    <xf numFmtId="172" fontId="42" fillId="3" borderId="19" xfId="8" applyNumberFormat="1" applyFont="1" applyFill="1" applyBorder="1" applyAlignment="1">
      <alignment horizontal="center" vertical="center" wrapText="1"/>
    </xf>
    <xf numFmtId="172" fontId="42" fillId="3" borderId="24" xfId="8" applyNumberFormat="1" applyFont="1" applyFill="1" applyBorder="1" applyAlignment="1">
      <alignment horizontal="center" vertical="center" wrapText="1"/>
    </xf>
    <xf numFmtId="165" fontId="42" fillId="3" borderId="0" xfId="8" applyFont="1" applyFill="1" applyBorder="1" applyAlignment="1">
      <alignment horizontal="center" vertical="center" wrapText="1"/>
    </xf>
    <xf numFmtId="0" fontId="42" fillId="7" borderId="0" xfId="7" applyFont="1" applyAlignment="1">
      <alignment horizontal="center" vertical="center" wrapText="1"/>
    </xf>
    <xf numFmtId="0" fontId="19" fillId="4" borderId="20" xfId="7" quotePrefix="1" applyFont="1" applyFill="1" applyBorder="1" applyAlignment="1">
      <alignment horizontal="center" vertical="center" wrapText="1"/>
    </xf>
    <xf numFmtId="0" fontId="19" fillId="4" borderId="0" xfId="7" quotePrefix="1" applyFont="1" applyFill="1" applyAlignment="1">
      <alignment horizontal="center" vertical="center" wrapText="1"/>
    </xf>
    <xf numFmtId="0" fontId="19" fillId="4" borderId="21" xfId="7" quotePrefix="1" applyFont="1" applyFill="1" applyBorder="1" applyAlignment="1">
      <alignment horizontal="center" vertical="center" wrapText="1"/>
    </xf>
    <xf numFmtId="0" fontId="19" fillId="9" borderId="0" xfId="7" quotePrefix="1" applyFont="1" applyFill="1" applyAlignment="1">
      <alignment horizontal="center" vertical="center" wrapText="1"/>
    </xf>
    <xf numFmtId="0" fontId="19" fillId="9" borderId="21" xfId="7" quotePrefix="1" applyFont="1" applyFill="1" applyBorder="1" applyAlignment="1">
      <alignment horizontal="center" vertical="center" wrapText="1"/>
    </xf>
    <xf numFmtId="0" fontId="42" fillId="3" borderId="18" xfId="7" applyFont="1" applyFill="1" applyBorder="1" applyAlignment="1">
      <alignment horizontal="center" vertical="center" wrapText="1"/>
    </xf>
    <xf numFmtId="0" fontId="42" fillId="3" borderId="57" xfId="7" applyFont="1" applyFill="1" applyBorder="1" applyAlignment="1">
      <alignment horizontal="center" vertical="center" wrapText="1"/>
    </xf>
    <xf numFmtId="0" fontId="42" fillId="3" borderId="20" xfId="7" applyFont="1" applyFill="1" applyBorder="1" applyAlignment="1">
      <alignment horizontal="center" vertical="center" wrapText="1"/>
    </xf>
    <xf numFmtId="0" fontId="42" fillId="3" borderId="0" xfId="7" applyFont="1" applyFill="1" applyAlignment="1">
      <alignment horizontal="center" vertical="center" wrapText="1"/>
    </xf>
    <xf numFmtId="0" fontId="42" fillId="4" borderId="18" xfId="7" applyFont="1" applyFill="1" applyBorder="1" applyAlignment="1">
      <alignment horizontal="center" vertical="center" wrapText="1"/>
    </xf>
    <xf numFmtId="0" fontId="42" fillId="4" borderId="57" xfId="7" applyFont="1" applyFill="1" applyBorder="1" applyAlignment="1">
      <alignment horizontal="center" vertical="center" wrapText="1"/>
    </xf>
    <xf numFmtId="0" fontId="42" fillId="4" borderId="19" xfId="7" applyFont="1" applyFill="1" applyBorder="1" applyAlignment="1">
      <alignment horizontal="center" vertical="center" wrapText="1"/>
    </xf>
    <xf numFmtId="0" fontId="42" fillId="4" borderId="20" xfId="7" applyFont="1" applyFill="1" applyBorder="1" applyAlignment="1">
      <alignment horizontal="center" vertical="center" wrapText="1"/>
    </xf>
    <xf numFmtId="0" fontId="42" fillId="4" borderId="0" xfId="7" applyFont="1" applyFill="1" applyAlignment="1">
      <alignment horizontal="center" vertical="center" wrapText="1"/>
    </xf>
    <xf numFmtId="0" fontId="42" fillId="4" borderId="21" xfId="7" applyFont="1" applyFill="1" applyBorder="1" applyAlignment="1">
      <alignment horizontal="center" vertical="center" wrapText="1"/>
    </xf>
    <xf numFmtId="0" fontId="42" fillId="4" borderId="22" xfId="7" applyFont="1" applyFill="1" applyBorder="1" applyAlignment="1">
      <alignment horizontal="center" vertical="center" wrapText="1"/>
    </xf>
    <xf numFmtId="0" fontId="42" fillId="4" borderId="24" xfId="7" applyFont="1" applyFill="1" applyBorder="1" applyAlignment="1">
      <alignment horizontal="center" vertical="center" wrapText="1"/>
    </xf>
    <xf numFmtId="0" fontId="19" fillId="4" borderId="18" xfId="7" applyFont="1" applyFill="1" applyBorder="1" applyAlignment="1">
      <alignment horizontal="center" vertical="center" wrapText="1"/>
    </xf>
    <xf numFmtId="0" fontId="19" fillId="4" borderId="57" xfId="7" applyFont="1" applyFill="1" applyBorder="1" applyAlignment="1">
      <alignment horizontal="center" vertical="center" wrapText="1"/>
    </xf>
    <xf numFmtId="0" fontId="19" fillId="4" borderId="19" xfId="7" applyFont="1" applyFill="1" applyBorder="1" applyAlignment="1">
      <alignment horizontal="center" vertical="center" wrapText="1"/>
    </xf>
    <xf numFmtId="0" fontId="19" fillId="4" borderId="20" xfId="7" applyFont="1" applyFill="1" applyBorder="1" applyAlignment="1">
      <alignment horizontal="center" vertical="center" wrapText="1"/>
    </xf>
    <xf numFmtId="0" fontId="19" fillId="4" borderId="0" xfId="7" applyFont="1" applyFill="1" applyAlignment="1">
      <alignment horizontal="center" vertical="center" wrapText="1"/>
    </xf>
    <xf numFmtId="0" fontId="19" fillId="4" borderId="21" xfId="7" applyFont="1" applyFill="1" applyBorder="1" applyAlignment="1">
      <alignment horizontal="center" vertical="center" wrapText="1"/>
    </xf>
    <xf numFmtId="0" fontId="19" fillId="4" borderId="22" xfId="7" applyFont="1" applyFill="1" applyBorder="1" applyAlignment="1">
      <alignment horizontal="center" vertical="center" wrapText="1"/>
    </xf>
    <xf numFmtId="0" fontId="19" fillId="4" borderId="23" xfId="7" applyFont="1" applyFill="1" applyBorder="1" applyAlignment="1">
      <alignment horizontal="center" vertical="center" wrapText="1"/>
    </xf>
    <xf numFmtId="0" fontId="19" fillId="4" borderId="24" xfId="7" applyFont="1" applyFill="1" applyBorder="1" applyAlignment="1">
      <alignment horizontal="center" vertical="center" wrapText="1"/>
    </xf>
    <xf numFmtId="174" fontId="19" fillId="3" borderId="20" xfId="7" applyNumberFormat="1" applyFont="1" applyFill="1" applyBorder="1" applyAlignment="1">
      <alignment horizontal="center" vertical="center" wrapText="1"/>
    </xf>
    <xf numFmtId="174" fontId="19" fillId="3" borderId="0" xfId="7" applyNumberFormat="1" applyFont="1" applyFill="1" applyAlignment="1">
      <alignment horizontal="center" vertical="center" wrapText="1"/>
    </xf>
    <xf numFmtId="174" fontId="19" fillId="3" borderId="21" xfId="7" applyNumberFormat="1" applyFont="1" applyFill="1" applyBorder="1" applyAlignment="1">
      <alignment horizontal="center" vertical="center" wrapText="1"/>
    </xf>
    <xf numFmtId="0" fontId="19" fillId="3" borderId="0" xfId="7" applyFont="1" applyFill="1" applyAlignment="1">
      <alignment horizontal="left" vertical="center" wrapText="1"/>
    </xf>
    <xf numFmtId="0" fontId="42" fillId="3" borderId="28" xfId="7" applyFont="1" applyFill="1" applyBorder="1" applyAlignment="1">
      <alignment horizontal="center" vertical="center" wrapText="1"/>
    </xf>
    <xf numFmtId="0" fontId="42" fillId="3" borderId="30" xfId="7" applyFont="1" applyFill="1" applyBorder="1" applyAlignment="1">
      <alignment horizontal="center" vertical="center" wrapText="1"/>
    </xf>
    <xf numFmtId="0" fontId="42" fillId="3" borderId="23" xfId="7" applyFont="1" applyFill="1" applyBorder="1" applyAlignment="1">
      <alignment horizontal="center" vertical="center" wrapText="1"/>
    </xf>
    <xf numFmtId="3" fontId="42" fillId="3" borderId="57" xfId="7" applyNumberFormat="1" applyFont="1" applyFill="1" applyBorder="1" applyAlignment="1">
      <alignment horizontal="center" vertical="center" wrapText="1"/>
    </xf>
    <xf numFmtId="3" fontId="42" fillId="3" borderId="23" xfId="7" applyNumberFormat="1" applyFont="1" applyFill="1" applyBorder="1" applyAlignment="1">
      <alignment horizontal="center" vertical="center" wrapText="1"/>
    </xf>
    <xf numFmtId="176" fontId="42" fillId="3" borderId="25" xfId="7" applyNumberFormat="1" applyFont="1" applyFill="1" applyBorder="1" applyAlignment="1">
      <alignment horizontal="center" vertical="center" wrapText="1"/>
    </xf>
    <xf numFmtId="0" fontId="42" fillId="3" borderId="26" xfId="7" applyFont="1" applyFill="1" applyBorder="1" applyAlignment="1">
      <alignment horizontal="center" vertical="center" wrapText="1"/>
    </xf>
    <xf numFmtId="0" fontId="42" fillId="3" borderId="27" xfId="7" applyFont="1" applyFill="1" applyBorder="1" applyAlignment="1">
      <alignment horizontal="center" vertical="center" wrapText="1"/>
    </xf>
    <xf numFmtId="176" fontId="19" fillId="3" borderId="25" xfId="7" quotePrefix="1" applyNumberFormat="1" applyFont="1" applyFill="1" applyBorder="1" applyAlignment="1">
      <alignment horizontal="center" vertical="center" wrapText="1"/>
    </xf>
    <xf numFmtId="0" fontId="19" fillId="3" borderId="26" xfId="7" quotePrefix="1" applyFont="1" applyFill="1" applyBorder="1" applyAlignment="1">
      <alignment horizontal="center" vertical="center" wrapText="1"/>
    </xf>
    <xf numFmtId="0" fontId="19" fillId="3" borderId="27" xfId="7" quotePrefix="1" applyFont="1" applyFill="1" applyBorder="1" applyAlignment="1">
      <alignment horizontal="center" vertical="center" wrapText="1"/>
    </xf>
    <xf numFmtId="16" fontId="19" fillId="3" borderId="18" xfId="7" applyNumberFormat="1" applyFont="1" applyFill="1" applyBorder="1" applyAlignment="1">
      <alignment horizontal="center" vertical="center" wrapText="1"/>
    </xf>
    <xf numFmtId="16" fontId="19" fillId="3" borderId="57" xfId="7" applyNumberFormat="1" applyFont="1" applyFill="1" applyBorder="1" applyAlignment="1">
      <alignment horizontal="center" vertical="center" wrapText="1"/>
    </xf>
    <xf numFmtId="16" fontId="19" fillId="3" borderId="19" xfId="7" applyNumberFormat="1" applyFont="1" applyFill="1" applyBorder="1" applyAlignment="1">
      <alignment horizontal="center" vertical="center" wrapText="1"/>
    </xf>
    <xf numFmtId="0" fontId="44" fillId="3" borderId="0" xfId="7" applyFont="1" applyFill="1" applyAlignment="1">
      <alignment horizontal="left" vertical="center" wrapText="1"/>
    </xf>
    <xf numFmtId="9" fontId="19" fillId="3" borderId="0" xfId="2" applyFont="1" applyFill="1" applyBorder="1" applyAlignment="1">
      <alignment horizontal="left" vertical="center" wrapText="1"/>
    </xf>
    <xf numFmtId="0" fontId="19" fillId="3" borderId="18" xfId="9" applyFont="1" applyFill="1" applyBorder="1" applyAlignment="1">
      <alignment horizontal="center" vertical="center" wrapText="1"/>
    </xf>
    <xf numFmtId="0" fontId="19" fillId="3" borderId="57" xfId="9" applyFont="1" applyFill="1" applyBorder="1" applyAlignment="1">
      <alignment horizontal="center" vertical="center" wrapText="1"/>
    </xf>
    <xf numFmtId="0" fontId="19" fillId="3" borderId="19" xfId="9" applyFont="1" applyFill="1" applyBorder="1" applyAlignment="1">
      <alignment horizontal="center" vertical="center" wrapText="1"/>
    </xf>
    <xf numFmtId="3" fontId="13" fillId="3" borderId="57" xfId="6" applyNumberFormat="1" applyFont="1" applyFill="1" applyBorder="1" applyAlignment="1">
      <alignment horizontal="center" vertical="center"/>
    </xf>
    <xf numFmtId="3" fontId="13" fillId="3" borderId="0" xfId="6" applyNumberFormat="1" applyFont="1" applyFill="1" applyAlignment="1">
      <alignment horizontal="center" vertical="center"/>
    </xf>
    <xf numFmtId="3" fontId="42" fillId="3" borderId="57" xfId="6" applyNumberFormat="1" applyFont="1" applyFill="1" applyBorder="1" applyAlignment="1">
      <alignment horizontal="center" vertical="center"/>
    </xf>
    <xf numFmtId="3" fontId="42" fillId="3" borderId="0" xfId="6" applyNumberFormat="1" applyFont="1" applyFill="1" applyAlignment="1">
      <alignment horizontal="center" vertical="center"/>
    </xf>
    <xf numFmtId="0" fontId="43" fillId="3" borderId="18" xfId="7" applyFont="1" applyFill="1" applyBorder="1" applyAlignment="1">
      <alignment horizontal="center" vertical="center" wrapText="1"/>
    </xf>
    <xf numFmtId="0" fontId="43" fillId="3" borderId="22" xfId="7" applyFont="1" applyFill="1" applyBorder="1" applyAlignment="1">
      <alignment horizontal="center" vertical="center" wrapText="1"/>
    </xf>
    <xf numFmtId="0" fontId="43" fillId="3" borderId="18" xfId="7" applyFont="1" applyFill="1" applyBorder="1" applyAlignment="1">
      <alignment horizontal="left" vertical="center" wrapText="1"/>
    </xf>
    <xf numFmtId="0" fontId="43" fillId="3" borderId="57" xfId="7" applyFont="1" applyFill="1" applyBorder="1" applyAlignment="1">
      <alignment horizontal="left" vertical="center" wrapText="1"/>
    </xf>
    <xf numFmtId="0" fontId="43" fillId="3" borderId="19" xfId="7" applyFont="1" applyFill="1" applyBorder="1" applyAlignment="1">
      <alignment horizontal="left" vertical="center" wrapText="1"/>
    </xf>
    <xf numFmtId="0" fontId="43" fillId="3" borderId="22" xfId="7" applyFont="1" applyFill="1" applyBorder="1" applyAlignment="1">
      <alignment horizontal="left" vertical="center" wrapText="1"/>
    </xf>
    <xf numFmtId="0" fontId="43" fillId="3" borderId="23" xfId="7" applyFont="1" applyFill="1" applyBorder="1" applyAlignment="1">
      <alignment horizontal="left" vertical="center" wrapText="1"/>
    </xf>
    <xf numFmtId="0" fontId="43" fillId="3" borderId="24" xfId="7" applyFont="1" applyFill="1" applyBorder="1" applyAlignment="1">
      <alignment horizontal="left" vertical="center" wrapText="1"/>
    </xf>
    <xf numFmtId="0" fontId="19" fillId="3" borderId="18" xfId="7" applyFont="1" applyFill="1" applyBorder="1" applyAlignment="1">
      <alignment horizontal="left" vertical="center" wrapText="1"/>
    </xf>
    <xf numFmtId="0" fontId="19" fillId="3" borderId="57" xfId="7" applyFont="1" applyFill="1" applyBorder="1" applyAlignment="1">
      <alignment horizontal="left" vertical="center" wrapText="1"/>
    </xf>
    <xf numFmtId="0" fontId="19" fillId="3" borderId="19" xfId="7" applyFont="1" applyFill="1" applyBorder="1" applyAlignment="1">
      <alignment horizontal="left" vertical="center" wrapText="1"/>
    </xf>
    <xf numFmtId="0" fontId="19" fillId="3" borderId="22" xfId="7" applyFont="1" applyFill="1" applyBorder="1" applyAlignment="1">
      <alignment horizontal="left" vertical="center" wrapText="1"/>
    </xf>
    <xf numFmtId="0" fontId="19" fillId="3" borderId="23" xfId="7" applyFont="1" applyFill="1" applyBorder="1" applyAlignment="1">
      <alignment horizontal="left" vertical="center" wrapText="1"/>
    </xf>
    <xf numFmtId="0" fontId="19" fillId="3" borderId="24" xfId="7" applyFont="1" applyFill="1" applyBorder="1" applyAlignment="1">
      <alignment horizontal="left" vertical="center" wrapText="1"/>
    </xf>
    <xf numFmtId="16" fontId="24" fillId="3" borderId="18" xfId="7" applyNumberFormat="1" applyFont="1" applyFill="1" applyBorder="1" applyAlignment="1">
      <alignment horizontal="center" vertical="center" wrapText="1"/>
    </xf>
    <xf numFmtId="16" fontId="24" fillId="3" borderId="57" xfId="7" applyNumberFormat="1" applyFont="1" applyFill="1" applyBorder="1" applyAlignment="1">
      <alignment horizontal="center" vertical="center" wrapText="1"/>
    </xf>
    <xf numFmtId="16" fontId="24" fillId="3" borderId="19" xfId="7" applyNumberFormat="1" applyFont="1" applyFill="1" applyBorder="1" applyAlignment="1">
      <alignment horizontal="center" vertical="center" wrapText="1"/>
    </xf>
    <xf numFmtId="0" fontId="24" fillId="3" borderId="0" xfId="7" applyFont="1" applyFill="1" applyAlignment="1">
      <alignment horizontal="left" vertical="center" wrapText="1"/>
    </xf>
    <xf numFmtId="0" fontId="41" fillId="3" borderId="28" xfId="7" applyFont="1" applyFill="1" applyBorder="1" applyAlignment="1">
      <alignment horizontal="center" vertical="center" wrapText="1"/>
    </xf>
    <xf numFmtId="0" fontId="41" fillId="3" borderId="30" xfId="7" applyFont="1" applyFill="1" applyBorder="1" applyAlignment="1">
      <alignment horizontal="center" vertical="center" wrapText="1"/>
    </xf>
    <xf numFmtId="0" fontId="41" fillId="3" borderId="57" xfId="7" applyFont="1" applyFill="1" applyBorder="1" applyAlignment="1">
      <alignment horizontal="center" vertical="center" wrapText="1"/>
    </xf>
    <xf numFmtId="0" fontId="41" fillId="3" borderId="23" xfId="7" applyFont="1" applyFill="1" applyBorder="1" applyAlignment="1">
      <alignment horizontal="center" vertical="center" wrapText="1"/>
    </xf>
    <xf numFmtId="3" fontId="41" fillId="3" borderId="57" xfId="7" applyNumberFormat="1" applyFont="1" applyFill="1" applyBorder="1" applyAlignment="1">
      <alignment horizontal="center" vertical="center" wrapText="1"/>
    </xf>
    <xf numFmtId="3" fontId="41" fillId="3" borderId="23" xfId="7" applyNumberFormat="1" applyFont="1" applyFill="1" applyBorder="1" applyAlignment="1">
      <alignment horizontal="center" vertical="center" wrapText="1"/>
    </xf>
    <xf numFmtId="172" fontId="41" fillId="3" borderId="19" xfId="8" applyNumberFormat="1" applyFont="1" applyFill="1" applyBorder="1" applyAlignment="1">
      <alignment horizontal="center" vertical="center" wrapText="1"/>
    </xf>
    <xf numFmtId="172" fontId="41" fillId="3" borderId="24" xfId="8" applyNumberFormat="1" applyFont="1" applyFill="1" applyBorder="1" applyAlignment="1">
      <alignment horizontal="center" vertical="center" wrapText="1"/>
    </xf>
    <xf numFmtId="176" fontId="41" fillId="3" borderId="25" xfId="7" applyNumberFormat="1" applyFont="1" applyFill="1" applyBorder="1" applyAlignment="1">
      <alignment horizontal="center" vertical="center" wrapText="1"/>
    </xf>
    <xf numFmtId="0" fontId="41" fillId="3" borderId="26" xfId="7" applyFont="1" applyFill="1" applyBorder="1" applyAlignment="1">
      <alignment horizontal="center" vertical="center" wrapText="1"/>
    </xf>
    <xf numFmtId="0" fontId="41" fillId="3" borderId="27" xfId="7" applyFont="1" applyFill="1" applyBorder="1" applyAlignment="1">
      <alignment horizontal="center" vertical="center" wrapText="1"/>
    </xf>
    <xf numFmtId="0" fontId="41" fillId="3" borderId="20" xfId="7" applyFont="1" applyFill="1" applyBorder="1" applyAlignment="1">
      <alignment horizontal="center" vertical="center" wrapText="1"/>
    </xf>
    <xf numFmtId="0" fontId="41" fillId="3" borderId="0" xfId="7" applyFont="1" applyFill="1" applyAlignment="1">
      <alignment horizontal="center" vertical="center" wrapText="1"/>
    </xf>
    <xf numFmtId="9" fontId="24" fillId="3" borderId="0" xfId="2" applyFont="1" applyFill="1" applyBorder="1" applyAlignment="1">
      <alignment horizontal="left" vertical="center" wrapText="1"/>
    </xf>
    <xf numFmtId="0" fontId="24" fillId="3" borderId="18" xfId="9" applyFont="1" applyFill="1" applyBorder="1" applyAlignment="1">
      <alignment horizontal="center" vertical="center" wrapText="1"/>
    </xf>
    <xf numFmtId="0" fontId="24" fillId="3" borderId="57" xfId="9" applyFont="1" applyFill="1" applyBorder="1" applyAlignment="1">
      <alignment horizontal="center" vertical="center" wrapText="1"/>
    </xf>
    <xf numFmtId="0" fontId="24" fillId="3" borderId="19" xfId="9" applyFont="1" applyFill="1" applyBorder="1" applyAlignment="1">
      <alignment horizontal="center" vertical="center" wrapText="1"/>
    </xf>
    <xf numFmtId="176" fontId="24" fillId="3" borderId="25" xfId="7" quotePrefix="1" applyNumberFormat="1" applyFont="1" applyFill="1" applyBorder="1" applyAlignment="1">
      <alignment horizontal="center" vertical="center" wrapText="1"/>
    </xf>
    <xf numFmtId="0" fontId="24" fillId="3" borderId="26" xfId="7" quotePrefix="1" applyFont="1" applyFill="1" applyBorder="1" applyAlignment="1">
      <alignment horizontal="center" vertical="center" wrapText="1"/>
    </xf>
    <xf numFmtId="0" fontId="24" fillId="3" borderId="27" xfId="7" quotePrefix="1" applyFont="1" applyFill="1" applyBorder="1" applyAlignment="1">
      <alignment horizontal="center" vertical="center" wrapText="1"/>
    </xf>
    <xf numFmtId="174" fontId="24" fillId="0" borderId="20" xfId="7" quotePrefix="1" applyNumberFormat="1" applyFont="1" applyFill="1" applyBorder="1" applyAlignment="1">
      <alignment horizontal="center" vertical="center" wrapText="1"/>
    </xf>
    <xf numFmtId="174" fontId="24" fillId="0" borderId="0" xfId="7" quotePrefix="1" applyNumberFormat="1" applyFont="1" applyFill="1" applyAlignment="1">
      <alignment horizontal="center" vertical="center" wrapText="1"/>
    </xf>
    <xf numFmtId="174" fontId="24" fillId="0" borderId="21" xfId="7" quotePrefix="1" applyNumberFormat="1" applyFont="1" applyFill="1" applyBorder="1" applyAlignment="1">
      <alignment horizontal="center" vertical="center" wrapText="1"/>
    </xf>
    <xf numFmtId="174" fontId="24" fillId="3" borderId="20" xfId="7" applyNumberFormat="1" applyFont="1" applyFill="1" applyBorder="1" applyAlignment="1">
      <alignment horizontal="center" vertical="center" wrapText="1"/>
    </xf>
    <xf numFmtId="174" fontId="24" fillId="3" borderId="0" xfId="7" applyNumberFormat="1" applyFont="1" applyFill="1" applyAlignment="1">
      <alignment horizontal="center" vertical="center" wrapText="1"/>
    </xf>
    <xf numFmtId="174" fontId="24" fillId="3" borderId="21" xfId="7" applyNumberFormat="1" applyFont="1" applyFill="1" applyBorder="1" applyAlignment="1">
      <alignment horizontal="center" vertical="center" wrapText="1"/>
    </xf>
    <xf numFmtId="0" fontId="51" fillId="0" borderId="52" xfId="0" applyFont="1" applyBorder="1" applyAlignment="1">
      <alignment horizontal="center"/>
    </xf>
    <xf numFmtId="0" fontId="51" fillId="0" borderId="92" xfId="0" applyFont="1" applyBorder="1" applyAlignment="1">
      <alignment horizontal="center"/>
    </xf>
    <xf numFmtId="166" fontId="19" fillId="3" borderId="79" xfId="1" applyNumberFormat="1" applyFont="1" applyFill="1" applyBorder="1" applyAlignment="1">
      <alignment horizontal="center" vertical="center" wrapText="1"/>
    </xf>
    <xf numFmtId="0" fontId="19" fillId="3" borderId="75" xfId="0" applyFont="1" applyFill="1" applyBorder="1" applyAlignment="1">
      <alignment horizontal="center" vertical="center" wrapText="1"/>
    </xf>
    <xf numFmtId="0" fontId="19" fillId="3" borderId="78" xfId="0" applyFont="1" applyFill="1" applyBorder="1" applyAlignment="1">
      <alignment horizontal="center" vertical="center" wrapText="1"/>
    </xf>
    <xf numFmtId="0" fontId="19" fillId="3" borderId="76" xfId="0" applyFont="1" applyFill="1" applyBorder="1" applyAlignment="1">
      <alignment horizontal="center" vertical="center" wrapText="1"/>
    </xf>
    <xf numFmtId="0" fontId="19" fillId="3" borderId="79" xfId="0" applyFont="1" applyFill="1" applyBorder="1" applyAlignment="1">
      <alignment horizontal="center" vertical="center" wrapText="1"/>
    </xf>
    <xf numFmtId="0" fontId="24" fillId="3" borderId="77" xfId="0" applyFont="1" applyFill="1" applyBorder="1" applyAlignment="1">
      <alignment horizontal="center" vertical="center"/>
    </xf>
    <xf numFmtId="0" fontId="24" fillId="3" borderId="80" xfId="0" applyFont="1" applyFill="1" applyBorder="1" applyAlignment="1">
      <alignment horizontal="center" vertical="center"/>
    </xf>
    <xf numFmtId="0" fontId="19" fillId="3" borderId="53" xfId="0" applyFont="1" applyFill="1" applyBorder="1" applyAlignment="1">
      <alignment horizontal="center" vertical="center" wrapText="1"/>
    </xf>
    <xf numFmtId="0" fontId="19" fillId="3" borderId="73"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1" xfId="0" applyFont="1" applyFill="1" applyBorder="1" applyAlignment="1">
      <alignment horizontal="center" vertical="center" wrapText="1"/>
    </xf>
    <xf numFmtId="166" fontId="12" fillId="3" borderId="78" xfId="1" applyNumberFormat="1" applyFont="1" applyFill="1" applyBorder="1" applyAlignment="1">
      <alignment horizontal="center" vertical="center" wrapText="1"/>
    </xf>
    <xf numFmtId="0" fontId="19" fillId="3" borderId="78" xfId="0" applyFont="1" applyFill="1" applyBorder="1" applyAlignment="1">
      <alignment horizontal="center" wrapText="1"/>
    </xf>
    <xf numFmtId="166" fontId="19" fillId="3" borderId="78" xfId="0" applyNumberFormat="1" applyFont="1" applyFill="1" applyBorder="1" applyAlignment="1">
      <alignment horizontal="center" vertical="center" wrapText="1"/>
    </xf>
    <xf numFmtId="0" fontId="15" fillId="2" borderId="74" xfId="0" applyFont="1" applyFill="1" applyBorder="1" applyAlignment="1">
      <alignment horizontal="center" vertical="center"/>
    </xf>
    <xf numFmtId="0" fontId="15" fillId="2" borderId="77" xfId="0" applyFont="1" applyFill="1" applyBorder="1" applyAlignment="1">
      <alignment horizontal="center" vertical="center"/>
    </xf>
    <xf numFmtId="0" fontId="15" fillId="2" borderId="75" xfId="0" applyFont="1" applyFill="1" applyBorder="1" applyAlignment="1">
      <alignment horizontal="center"/>
    </xf>
    <xf numFmtId="0" fontId="15" fillId="2" borderId="75" xfId="0" applyFont="1" applyFill="1" applyBorder="1" applyAlignment="1">
      <alignment horizontal="center" vertical="center"/>
    </xf>
    <xf numFmtId="0" fontId="15" fillId="2" borderId="78" xfId="0" applyFont="1" applyFill="1" applyBorder="1" applyAlignment="1">
      <alignment horizontal="center" vertical="center"/>
    </xf>
    <xf numFmtId="0" fontId="24" fillId="3" borderId="77" xfId="0" applyFont="1" applyFill="1" applyBorder="1" applyAlignment="1">
      <alignment horizontal="center"/>
    </xf>
    <xf numFmtId="0" fontId="24" fillId="3" borderId="78" xfId="0" applyFont="1" applyFill="1" applyBorder="1" applyAlignment="1">
      <alignment horizontal="center"/>
    </xf>
    <xf numFmtId="0" fontId="15" fillId="2" borderId="76" xfId="0" applyFont="1" applyFill="1" applyBorder="1" applyAlignment="1">
      <alignment horizontal="center"/>
    </xf>
    <xf numFmtId="0" fontId="15" fillId="2" borderId="75" xfId="0" applyFont="1" applyFill="1" applyBorder="1" applyAlignment="1">
      <alignment vertical="center" wrapText="1"/>
    </xf>
    <xf numFmtId="0" fontId="15" fillId="2" borderId="78" xfId="0" applyFont="1" applyFill="1" applyBorder="1" applyAlignment="1">
      <alignment vertical="center" wrapText="1"/>
    </xf>
    <xf numFmtId="0" fontId="15" fillId="2" borderId="6" xfId="0" applyFont="1" applyFill="1" applyBorder="1" applyAlignment="1">
      <alignment horizontal="center" vertical="center"/>
    </xf>
    <xf numFmtId="0" fontId="15" fillId="2" borderId="8" xfId="0" applyFont="1" applyFill="1" applyBorder="1" applyAlignment="1">
      <alignment horizontal="left"/>
    </xf>
    <xf numFmtId="0" fontId="20" fillId="2" borderId="2" xfId="0" applyFont="1" applyFill="1" applyBorder="1" applyAlignment="1">
      <alignment horizontal="center" vertical="center"/>
    </xf>
    <xf numFmtId="0" fontId="20" fillId="2" borderId="7" xfId="0" applyFont="1" applyFill="1" applyBorder="1" applyAlignment="1">
      <alignment horizontal="center" vertical="center"/>
    </xf>
    <xf numFmtId="0" fontId="20" fillId="2" borderId="4" xfId="0" applyFont="1" applyFill="1" applyBorder="1" applyAlignment="1">
      <alignment horizontal="center" vertical="center"/>
    </xf>
    <xf numFmtId="0" fontId="20" fillId="2" borderId="9" xfId="0" applyFont="1" applyFill="1" applyBorder="1" applyAlignment="1">
      <alignment horizontal="center" vertical="center"/>
    </xf>
    <xf numFmtId="0" fontId="20" fillId="2" borderId="53" xfId="0" applyFont="1" applyFill="1" applyBorder="1" applyAlignment="1">
      <alignment horizontal="center" vertical="center"/>
    </xf>
    <xf numFmtId="0" fontId="20" fillId="2" borderId="0" xfId="0" applyFont="1" applyFill="1" applyAlignment="1">
      <alignment horizontal="center" vertical="center"/>
    </xf>
    <xf numFmtId="0" fontId="20" fillId="2" borderId="8" xfId="0" applyFont="1" applyFill="1" applyBorder="1" applyAlignment="1">
      <alignment horizontal="center" vertical="center"/>
    </xf>
    <xf numFmtId="0" fontId="28" fillId="2" borderId="39" xfId="0" applyFont="1" applyFill="1" applyBorder="1" applyAlignment="1">
      <alignment horizontal="center" wrapText="1"/>
    </xf>
    <xf numFmtId="0" fontId="28" fillId="2" borderId="41" xfId="0" applyFont="1" applyFill="1" applyBorder="1" applyAlignment="1">
      <alignment horizontal="center" wrapText="1"/>
    </xf>
    <xf numFmtId="0" fontId="26" fillId="0" borderId="0" xfId="0" applyFont="1" applyAlignment="1">
      <alignment horizontal="left"/>
    </xf>
    <xf numFmtId="0" fontId="29" fillId="2" borderId="0" xfId="0" applyFont="1" applyFill="1" applyAlignment="1">
      <alignment horizontal="center" vertical="center"/>
    </xf>
    <xf numFmtId="0" fontId="25" fillId="2" borderId="74" xfId="3" applyFont="1" applyFill="1" applyBorder="1" applyAlignment="1">
      <alignment horizontal="center" vertical="center"/>
    </xf>
    <xf numFmtId="0" fontId="25" fillId="2" borderId="75" xfId="3" applyFont="1" applyFill="1" applyBorder="1" applyAlignment="1">
      <alignment horizontal="center" vertical="center"/>
    </xf>
    <xf numFmtId="0" fontId="25" fillId="2" borderId="76" xfId="3" applyFont="1" applyFill="1" applyBorder="1" applyAlignment="1">
      <alignment horizontal="center" vertical="center"/>
    </xf>
    <xf numFmtId="0" fontId="25" fillId="2" borderId="77" xfId="3" applyFont="1" applyFill="1" applyBorder="1" applyAlignment="1">
      <alignment horizontal="center" vertical="center"/>
    </xf>
    <xf numFmtId="0" fontId="25" fillId="2" borderId="78" xfId="3" applyFont="1" applyFill="1" applyBorder="1" applyAlignment="1">
      <alignment horizontal="center" vertical="center"/>
    </xf>
    <xf numFmtId="0" fontId="25" fillId="2" borderId="79" xfId="3" applyFont="1" applyFill="1" applyBorder="1" applyAlignment="1">
      <alignment horizontal="center" vertical="center"/>
    </xf>
    <xf numFmtId="166" fontId="0" fillId="0" borderId="26" xfId="0" applyNumberForma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166" fontId="49" fillId="2" borderId="25" xfId="1" applyNumberFormat="1" applyFont="1" applyFill="1" applyBorder="1" applyAlignment="1">
      <alignment horizontal="center" vertical="top"/>
    </xf>
    <xf numFmtId="166" fontId="49" fillId="2" borderId="26" xfId="1" applyNumberFormat="1" applyFont="1" applyFill="1" applyBorder="1" applyAlignment="1">
      <alignment horizontal="center" vertical="top"/>
    </xf>
    <xf numFmtId="166" fontId="49" fillId="2" borderId="27" xfId="1" applyNumberFormat="1" applyFont="1" applyFill="1" applyBorder="1" applyAlignment="1">
      <alignment horizontal="center" vertical="top"/>
    </xf>
    <xf numFmtId="0" fontId="0" fillId="0" borderId="18" xfId="0" applyBorder="1" applyAlignment="1">
      <alignment horizontal="center" vertical="center" wrapText="1"/>
    </xf>
    <xf numFmtId="0" fontId="0" fillId="0" borderId="57"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0" xfId="0" applyAlignment="1">
      <alignment horizontal="center" vertical="center" wrapText="1"/>
    </xf>
    <xf numFmtId="0" fontId="0" fillId="0" borderId="21" xfId="0" applyBorder="1" applyAlignment="1">
      <alignment horizontal="center" vertical="center" wrapText="1"/>
    </xf>
    <xf numFmtId="0" fontId="0" fillId="0" borderId="18" xfId="0" applyBorder="1" applyAlignment="1">
      <alignment horizontal="center" vertical="center"/>
    </xf>
    <xf numFmtId="0" fontId="0" fillId="0" borderId="57"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vertical="center"/>
    </xf>
    <xf numFmtId="0" fontId="0" fillId="0" borderId="21" xfId="0" applyBorder="1" applyAlignment="1">
      <alignment horizontal="center" vertical="center"/>
    </xf>
    <xf numFmtId="0" fontId="0" fillId="0" borderId="18" xfId="0" applyBorder="1" applyAlignment="1">
      <alignment horizontal="left" vertical="top" wrapText="1"/>
    </xf>
    <xf numFmtId="0" fontId="0" fillId="0" borderId="57"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0" xfId="0"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23" xfId="0" applyBorder="1" applyAlignment="1">
      <alignment horizontal="left" vertical="top"/>
    </xf>
    <xf numFmtId="0" fontId="0" fillId="0" borderId="24" xfId="0" applyBorder="1" applyAlignment="1">
      <alignment horizontal="left" vertical="top"/>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18" xfId="0" applyBorder="1" applyAlignment="1">
      <alignment horizontal="left" vertical="center" wrapText="1"/>
    </xf>
    <xf numFmtId="0" fontId="0" fillId="0" borderId="57"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0" xfId="0"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166" fontId="53" fillId="2" borderId="25" xfId="1" applyNumberFormat="1" applyFont="1" applyFill="1" applyBorder="1" applyAlignment="1">
      <alignment horizontal="center" vertical="center"/>
    </xf>
    <xf numFmtId="166" fontId="53" fillId="2" borderId="26" xfId="1" applyNumberFormat="1" applyFont="1" applyFill="1" applyBorder="1" applyAlignment="1">
      <alignment horizontal="center" vertical="center"/>
    </xf>
    <xf numFmtId="166" fontId="53" fillId="2" borderId="27" xfId="1" applyNumberFormat="1" applyFont="1" applyFill="1" applyBorder="1" applyAlignment="1">
      <alignment horizontal="center" vertical="center"/>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166" fontId="54" fillId="2" borderId="25" xfId="1" applyNumberFormat="1" applyFont="1" applyFill="1" applyBorder="1" applyAlignment="1">
      <alignment horizontal="right" vertical="center"/>
    </xf>
    <xf numFmtId="166" fontId="54" fillId="2" borderId="26" xfId="1" applyNumberFormat="1" applyFont="1" applyFill="1" applyBorder="1" applyAlignment="1">
      <alignment horizontal="right" vertical="center"/>
    </xf>
    <xf numFmtId="166" fontId="54" fillId="2" borderId="27" xfId="1" applyNumberFormat="1" applyFont="1" applyFill="1" applyBorder="1" applyAlignment="1">
      <alignment horizontal="right" vertical="center"/>
    </xf>
    <xf numFmtId="0" fontId="0" fillId="0" borderId="18" xfId="0" applyBorder="1" applyAlignment="1">
      <alignment horizontal="center" wrapText="1"/>
    </xf>
    <xf numFmtId="0" fontId="0" fillId="0" borderId="57"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xf numFmtId="0" fontId="0" fillId="0" borderId="0" xfId="0"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3" xfId="0" applyBorder="1" applyAlignment="1">
      <alignment horizontal="center" wrapText="1"/>
    </xf>
    <xf numFmtId="0" fontId="0" fillId="0" borderId="24" xfId="0" applyBorder="1" applyAlignment="1">
      <alignment horizontal="center" wrapText="1"/>
    </xf>
    <xf numFmtId="0" fontId="0" fillId="0" borderId="18" xfId="0" applyBorder="1" applyAlignment="1">
      <alignment horizontal="center" vertical="top" wrapText="1"/>
    </xf>
    <xf numFmtId="0" fontId="0" fillId="0" borderId="57" xfId="0" applyBorder="1" applyAlignment="1">
      <alignment horizontal="center" vertical="top" wrapText="1"/>
    </xf>
    <xf numFmtId="0" fontId="0" fillId="0" borderId="19" xfId="0" applyBorder="1" applyAlignment="1">
      <alignment horizontal="center" vertical="top" wrapText="1"/>
    </xf>
    <xf numFmtId="0" fontId="0" fillId="0" borderId="20" xfId="0" applyBorder="1" applyAlignment="1">
      <alignment horizontal="center" vertical="top" wrapText="1"/>
    </xf>
    <xf numFmtId="0" fontId="0" fillId="0" borderId="0" xfId="0" applyAlignment="1">
      <alignment horizontal="center" vertical="top" wrapText="1"/>
    </xf>
    <xf numFmtId="0" fontId="0" fillId="0" borderId="21" xfId="0" applyBorder="1" applyAlignment="1">
      <alignment horizontal="center" vertical="top"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57"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0" xfId="0"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0" borderId="24" xfId="0" applyBorder="1" applyAlignment="1">
      <alignment horizontal="left" vertical="center"/>
    </xf>
    <xf numFmtId="166" fontId="54" fillId="2" borderId="22" xfId="1" applyNumberFormat="1" applyFont="1" applyFill="1" applyBorder="1" applyAlignment="1">
      <alignment horizontal="center" vertical="center" wrapText="1"/>
    </xf>
    <xf numFmtId="166" fontId="54" fillId="2" borderId="23" xfId="1" applyNumberFormat="1" applyFont="1" applyFill="1" applyBorder="1" applyAlignment="1">
      <alignment horizontal="center" vertical="center" wrapText="1"/>
    </xf>
    <xf numFmtId="166" fontId="54" fillId="2" borderId="24" xfId="1" applyNumberFormat="1" applyFont="1" applyFill="1" applyBorder="1" applyAlignment="1">
      <alignment horizontal="center" vertical="center" wrapText="1"/>
    </xf>
    <xf numFmtId="0" fontId="0" fillId="0" borderId="57"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18" xfId="0" applyBorder="1" applyAlignment="1">
      <alignment horizontal="left" wrapText="1"/>
    </xf>
    <xf numFmtId="0" fontId="0" fillId="0" borderId="57" xfId="0" applyBorder="1" applyAlignment="1">
      <alignment horizontal="left" wrapText="1"/>
    </xf>
    <xf numFmtId="0" fontId="0" fillId="0" borderId="19" xfId="0" applyBorder="1" applyAlignment="1">
      <alignment horizontal="left" wrapText="1"/>
    </xf>
    <xf numFmtId="0" fontId="0" fillId="0" borderId="20" xfId="0" applyBorder="1" applyAlignment="1">
      <alignment horizontal="left" wrapText="1"/>
    </xf>
    <xf numFmtId="0" fontId="0" fillId="0" borderId="0" xfId="0" applyAlignment="1">
      <alignment horizontal="left" wrapText="1"/>
    </xf>
    <xf numFmtId="0" fontId="0" fillId="0" borderId="21" xfId="0" applyBorder="1" applyAlignment="1">
      <alignment horizontal="left" wrapText="1"/>
    </xf>
    <xf numFmtId="0" fontId="0" fillId="0" borderId="22" xfId="0" applyBorder="1" applyAlignment="1">
      <alignment horizontal="left" wrapText="1"/>
    </xf>
    <xf numFmtId="0" fontId="0" fillId="0" borderId="23" xfId="0" applyBorder="1" applyAlignment="1">
      <alignment horizontal="left" wrapText="1"/>
    </xf>
    <xf numFmtId="0" fontId="0" fillId="0" borderId="24" xfId="0" applyBorder="1" applyAlignment="1">
      <alignment horizontal="left" wrapText="1"/>
    </xf>
    <xf numFmtId="0" fontId="0" fillId="0" borderId="57" xfId="0" quotePrefix="1" applyBorder="1" applyAlignment="1">
      <alignment horizontal="left" vertical="center" wrapText="1"/>
    </xf>
    <xf numFmtId="0" fontId="50" fillId="2" borderId="57" xfId="0" applyFont="1" applyFill="1" applyBorder="1" applyAlignment="1">
      <alignment horizontal="center" vertical="center"/>
    </xf>
    <xf numFmtId="0" fontId="50" fillId="2" borderId="19" xfId="0" applyFont="1" applyFill="1" applyBorder="1" applyAlignment="1">
      <alignment horizontal="center" vertical="center"/>
    </xf>
    <xf numFmtId="0" fontId="50" fillId="2" borderId="0" xfId="0" applyFont="1" applyFill="1" applyAlignment="1">
      <alignment horizontal="center" vertical="center"/>
    </xf>
    <xf numFmtId="0" fontId="50" fillId="2" borderId="21" xfId="0" applyFont="1" applyFill="1" applyBorder="1" applyAlignment="1">
      <alignment horizontal="center" vertical="center"/>
    </xf>
    <xf numFmtId="0" fontId="50" fillId="2" borderId="18" xfId="0" applyFont="1" applyFill="1" applyBorder="1" applyAlignment="1">
      <alignment horizontal="center" vertical="center"/>
    </xf>
    <xf numFmtId="0" fontId="50" fillId="2" borderId="20" xfId="0" applyFont="1" applyFill="1" applyBorder="1" applyAlignment="1">
      <alignment horizontal="center" vertical="center"/>
    </xf>
    <xf numFmtId="0" fontId="51" fillId="0" borderId="18" xfId="0" applyFont="1" applyBorder="1" applyAlignment="1">
      <alignment horizontal="left" vertical="center" wrapText="1"/>
    </xf>
    <xf numFmtId="0" fontId="51" fillId="0" borderId="57" xfId="0" applyFont="1" applyBorder="1" applyAlignment="1">
      <alignment horizontal="left" vertical="center"/>
    </xf>
    <xf numFmtId="0" fontId="51" fillId="0" borderId="19" xfId="0" applyFont="1" applyBorder="1" applyAlignment="1">
      <alignment horizontal="left" vertical="center"/>
    </xf>
    <xf numFmtId="0" fontId="51" fillId="0" borderId="20" xfId="0" applyFont="1" applyBorder="1" applyAlignment="1">
      <alignment horizontal="left" vertical="center"/>
    </xf>
    <xf numFmtId="0" fontId="51" fillId="0" borderId="0" xfId="0" applyFont="1" applyAlignment="1">
      <alignment horizontal="left" vertical="center"/>
    </xf>
    <xf numFmtId="0" fontId="51" fillId="0" borderId="21" xfId="0" applyFont="1" applyBorder="1" applyAlignment="1">
      <alignment horizontal="left" vertical="center"/>
    </xf>
    <xf numFmtId="0" fontId="51" fillId="0" borderId="22" xfId="0" applyFont="1" applyBorder="1" applyAlignment="1">
      <alignment horizontal="left" vertical="center"/>
    </xf>
    <xf numFmtId="0" fontId="51" fillId="0" borderId="23" xfId="0" applyFont="1" applyBorder="1" applyAlignment="1">
      <alignment horizontal="left" vertical="center"/>
    </xf>
    <xf numFmtId="0" fontId="51" fillId="0" borderId="24" xfId="0" applyFont="1" applyBorder="1" applyAlignment="1">
      <alignment horizontal="left" vertical="center"/>
    </xf>
    <xf numFmtId="0" fontId="51" fillId="0" borderId="57" xfId="0" applyFont="1" applyBorder="1" applyAlignment="1">
      <alignment horizontal="left" vertical="center" wrapText="1"/>
    </xf>
    <xf numFmtId="0" fontId="51" fillId="0" borderId="19" xfId="0" applyFont="1" applyBorder="1" applyAlignment="1">
      <alignment horizontal="left" vertical="center" wrapText="1"/>
    </xf>
    <xf numFmtId="0" fontId="51" fillId="0" borderId="20" xfId="0" applyFont="1" applyBorder="1" applyAlignment="1">
      <alignment horizontal="left" vertical="center" wrapText="1"/>
    </xf>
    <xf numFmtId="0" fontId="51" fillId="0" borderId="0" xfId="0" applyFont="1" applyAlignment="1">
      <alignment horizontal="left" vertical="center" wrapText="1"/>
    </xf>
    <xf numFmtId="0" fontId="51" fillId="0" borderId="21" xfId="0" applyFont="1" applyBorder="1" applyAlignment="1">
      <alignment horizontal="left" vertical="center" wrapText="1"/>
    </xf>
    <xf numFmtId="0" fontId="51" fillId="0" borderId="22" xfId="0" applyFont="1" applyBorder="1" applyAlignment="1">
      <alignment horizontal="left" vertical="center" wrapText="1"/>
    </xf>
    <xf numFmtId="0" fontId="51" fillId="0" borderId="23" xfId="0" applyFont="1" applyBorder="1" applyAlignment="1">
      <alignment horizontal="left" vertical="center" wrapText="1"/>
    </xf>
    <xf numFmtId="0" fontId="51" fillId="0" borderId="24" xfId="0" applyFont="1" applyBorder="1" applyAlignment="1">
      <alignment horizontal="left" vertical="center" wrapText="1"/>
    </xf>
    <xf numFmtId="0" fontId="51" fillId="0" borderId="18" xfId="0" applyFont="1" applyBorder="1" applyAlignment="1">
      <alignment vertical="center" wrapText="1"/>
    </xf>
    <xf numFmtId="0" fontId="51" fillId="0" borderId="57" xfId="0" applyFont="1" applyBorder="1" applyAlignment="1">
      <alignment vertical="center"/>
    </xf>
    <xf numFmtId="0" fontId="51" fillId="0" borderId="19" xfId="0" applyFont="1" applyBorder="1" applyAlignment="1">
      <alignment vertical="center"/>
    </xf>
    <xf numFmtId="0" fontId="51" fillId="0" borderId="20" xfId="0" applyFont="1" applyBorder="1" applyAlignment="1">
      <alignment vertical="center"/>
    </xf>
    <xf numFmtId="0" fontId="51" fillId="0" borderId="0" xfId="0" applyFont="1" applyAlignment="1">
      <alignment vertical="center"/>
    </xf>
    <xf numFmtId="0" fontId="51" fillId="0" borderId="21" xfId="0" applyFont="1" applyBorder="1" applyAlignment="1">
      <alignment vertical="center"/>
    </xf>
    <xf numFmtId="0" fontId="51" fillId="0" borderId="22" xfId="0" applyFont="1" applyBorder="1" applyAlignment="1">
      <alignment vertical="center"/>
    </xf>
    <xf numFmtId="0" fontId="51" fillId="0" borderId="23" xfId="0" applyFont="1" applyBorder="1" applyAlignment="1">
      <alignment vertical="center"/>
    </xf>
    <xf numFmtId="0" fontId="51" fillId="0" borderId="24" xfId="0" applyFont="1" applyBorder="1" applyAlignment="1">
      <alignment vertical="center"/>
    </xf>
    <xf numFmtId="0" fontId="51" fillId="0" borderId="18" xfId="0" applyFont="1" applyBorder="1" applyAlignment="1">
      <alignment horizontal="center" vertical="center" wrapText="1"/>
    </xf>
    <xf numFmtId="0" fontId="51" fillId="0" borderId="57" xfId="0" applyFont="1" applyBorder="1" applyAlignment="1">
      <alignment horizontal="center" vertical="center" wrapText="1"/>
    </xf>
    <xf numFmtId="0" fontId="51" fillId="0" borderId="19" xfId="0" applyFont="1" applyBorder="1" applyAlignment="1">
      <alignment horizontal="center" vertical="center" wrapText="1"/>
    </xf>
    <xf numFmtId="0" fontId="51" fillId="0" borderId="20" xfId="0" applyFont="1" applyBorder="1" applyAlignment="1">
      <alignment horizontal="center" vertical="center" wrapText="1"/>
    </xf>
    <xf numFmtId="0" fontId="51" fillId="0" borderId="0" xfId="0" applyFont="1" applyAlignment="1">
      <alignment horizontal="center" vertical="center" wrapText="1"/>
    </xf>
    <xf numFmtId="0" fontId="51" fillId="0" borderId="21" xfId="0" applyFont="1" applyBorder="1" applyAlignment="1">
      <alignment horizontal="center" vertical="center" wrapText="1"/>
    </xf>
    <xf numFmtId="0" fontId="36" fillId="3" borderId="44" xfId="0" applyFont="1" applyFill="1" applyBorder="1" applyAlignment="1">
      <alignment horizontal="left" vertical="center"/>
    </xf>
    <xf numFmtId="3" fontId="48" fillId="2" borderId="83" xfId="0" applyNumberFormat="1" applyFont="1" applyFill="1" applyBorder="1" applyAlignment="1">
      <alignment horizontal="center" vertical="center"/>
    </xf>
    <xf numFmtId="3" fontId="48" fillId="2" borderId="84" xfId="0" applyNumberFormat="1" applyFont="1" applyFill="1" applyBorder="1" applyAlignment="1">
      <alignment horizontal="center" vertical="center"/>
    </xf>
    <xf numFmtId="3" fontId="48" fillId="2" borderId="85" xfId="0" applyNumberFormat="1" applyFont="1" applyFill="1" applyBorder="1" applyAlignment="1">
      <alignment horizontal="center" vertical="center"/>
    </xf>
    <xf numFmtId="3" fontId="37" fillId="3" borderId="86" xfId="0" applyNumberFormat="1" applyFont="1" applyFill="1" applyBorder="1" applyAlignment="1">
      <alignment horizontal="center" vertical="center"/>
    </xf>
    <xf numFmtId="3" fontId="37" fillId="3" borderId="87" xfId="0" applyNumberFormat="1" applyFont="1" applyFill="1" applyBorder="1" applyAlignment="1">
      <alignment horizontal="center" vertical="center"/>
    </xf>
    <xf numFmtId="3" fontId="37" fillId="3" borderId="88" xfId="0" applyNumberFormat="1" applyFont="1" applyFill="1" applyBorder="1" applyAlignment="1">
      <alignment horizontal="center" vertical="center"/>
    </xf>
    <xf numFmtId="0" fontId="24" fillId="3" borderId="88" xfId="0" quotePrefix="1" applyFont="1" applyFill="1" applyBorder="1" applyAlignment="1">
      <alignment horizontal="center" vertical="center" wrapText="1"/>
    </xf>
    <xf numFmtId="0" fontId="16" fillId="2" borderId="0" xfId="0" applyFont="1" applyFill="1" applyAlignment="1">
      <alignment horizontal="center"/>
    </xf>
    <xf numFmtId="0" fontId="18" fillId="0" borderId="0" xfId="0" quotePrefix="1" applyFont="1" applyAlignment="1">
      <alignment horizontal="left"/>
    </xf>
    <xf numFmtId="0" fontId="18" fillId="0" borderId="0" xfId="0" applyFont="1" applyAlignment="1">
      <alignment horizontal="left"/>
    </xf>
    <xf numFmtId="0" fontId="20" fillId="2" borderId="7" xfId="0" quotePrefix="1" applyFont="1" applyFill="1" applyBorder="1" applyAlignment="1">
      <alignment horizontal="center"/>
    </xf>
    <xf numFmtId="0" fontId="20" fillId="2" borderId="8" xfId="0" applyFont="1" applyFill="1" applyBorder="1" applyAlignment="1">
      <alignment horizontal="center"/>
    </xf>
    <xf numFmtId="0" fontId="15" fillId="2" borderId="2" xfId="0" quotePrefix="1" applyFont="1" applyFill="1" applyBorder="1" applyAlignment="1">
      <alignment horizontal="center"/>
    </xf>
    <xf numFmtId="0" fontId="15" fillId="2" borderId="3" xfId="0" quotePrefix="1" applyFont="1" applyFill="1" applyBorder="1" applyAlignment="1">
      <alignment horizontal="center"/>
    </xf>
    <xf numFmtId="0" fontId="15" fillId="2" borderId="4" xfId="0" quotePrefix="1" applyFont="1" applyFill="1" applyBorder="1" applyAlignment="1">
      <alignment horizontal="center"/>
    </xf>
    <xf numFmtId="0" fontId="20" fillId="2" borderId="8" xfId="0" quotePrefix="1" applyFont="1" applyFill="1" applyBorder="1" applyAlignment="1">
      <alignment horizontal="center"/>
    </xf>
    <xf numFmtId="0" fontId="20" fillId="2" borderId="9" xfId="0" applyFont="1" applyFill="1" applyBorder="1" applyAlignment="1">
      <alignment horizontal="center"/>
    </xf>
    <xf numFmtId="0" fontId="15" fillId="2" borderId="10" xfId="0" applyFont="1" applyFill="1" applyBorder="1" applyAlignment="1">
      <alignment horizontal="center"/>
    </xf>
    <xf numFmtId="0" fontId="15" fillId="2" borderId="11" xfId="0" applyFont="1" applyFill="1" applyBorder="1" applyAlignment="1">
      <alignment horizontal="center"/>
    </xf>
    <xf numFmtId="0" fontId="15" fillId="2" borderId="12" xfId="0" applyFont="1" applyFill="1" applyBorder="1" applyAlignment="1">
      <alignment horizontal="center"/>
    </xf>
    <xf numFmtId="0" fontId="18" fillId="0" borderId="5" xfId="0" quotePrefix="1" applyFont="1" applyBorder="1" applyAlignment="1">
      <alignment horizontal="left" vertical="center" wrapText="1"/>
    </xf>
    <xf numFmtId="0" fontId="18" fillId="0" borderId="0" xfId="0" applyFont="1" applyAlignment="1">
      <alignment horizontal="left" vertical="center" wrapText="1"/>
    </xf>
    <xf numFmtId="0" fontId="18" fillId="0" borderId="6" xfId="0" applyFont="1" applyBorder="1" applyAlignment="1">
      <alignment horizontal="left" vertical="center" wrapText="1"/>
    </xf>
    <xf numFmtId="0" fontId="18" fillId="0" borderId="5" xfId="0" quotePrefix="1" applyFont="1" applyBorder="1" applyAlignment="1">
      <alignment horizontal="left" vertical="center"/>
    </xf>
    <xf numFmtId="0" fontId="18" fillId="0" borderId="0" xfId="0" applyFont="1" applyAlignment="1">
      <alignment horizontal="left" vertical="center"/>
    </xf>
    <xf numFmtId="0" fontId="18" fillId="0" borderId="6" xfId="0" applyFont="1" applyBorder="1" applyAlignment="1">
      <alignment horizontal="left" vertical="center"/>
    </xf>
    <xf numFmtId="0" fontId="18" fillId="0" borderId="7" xfId="0" quotePrefix="1" applyFont="1" applyBorder="1" applyAlignment="1">
      <alignment horizontal="left" vertical="center" wrapText="1"/>
    </xf>
    <xf numFmtId="0" fontId="18" fillId="0" borderId="8" xfId="0" applyFont="1" applyBorder="1" applyAlignment="1">
      <alignment horizontal="left" vertical="center" wrapText="1"/>
    </xf>
    <xf numFmtId="0" fontId="18" fillId="0" borderId="9" xfId="0" applyFont="1" applyBorder="1" applyAlignment="1">
      <alignment horizontal="left" vertical="center" wrapText="1"/>
    </xf>
    <xf numFmtId="0" fontId="18" fillId="0" borderId="2" xfId="0" quotePrefix="1" applyFont="1" applyBorder="1" applyAlignment="1">
      <alignment horizontal="left" vertical="center" wrapText="1"/>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0" borderId="2" xfId="0" quotePrefix="1" applyFont="1" applyBorder="1" applyAlignment="1">
      <alignment horizontal="left" vertical="center"/>
    </xf>
    <xf numFmtId="0" fontId="15" fillId="2" borderId="2" xfId="0" applyFont="1" applyFill="1" applyBorder="1" applyAlignment="1">
      <alignment horizontal="center"/>
    </xf>
    <xf numFmtId="0" fontId="15" fillId="2" borderId="3" xfId="0" applyFont="1" applyFill="1" applyBorder="1" applyAlignment="1">
      <alignment horizontal="center"/>
    </xf>
    <xf numFmtId="0" fontId="15" fillId="2" borderId="4" xfId="0" applyFont="1" applyFill="1" applyBorder="1" applyAlignment="1">
      <alignment horizontal="center"/>
    </xf>
    <xf numFmtId="0" fontId="18" fillId="0" borderId="0" xfId="0" quotePrefix="1" applyFont="1" applyAlignment="1">
      <alignment horizontal="left" vertical="center"/>
    </xf>
    <xf numFmtId="0" fontId="18" fillId="0" borderId="6" xfId="0" quotePrefix="1" applyFont="1" applyBorder="1" applyAlignment="1">
      <alignment horizontal="left" vertical="center"/>
    </xf>
    <xf numFmtId="0" fontId="18" fillId="0" borderId="5" xfId="0" quotePrefix="1" applyFont="1" applyBorder="1" applyAlignment="1">
      <alignment vertical="center" wrapText="1"/>
    </xf>
    <xf numFmtId="0" fontId="18" fillId="0" borderId="0" xfId="0" applyFont="1" applyAlignment="1">
      <alignment vertical="center" wrapText="1"/>
    </xf>
    <xf numFmtId="0" fontId="18" fillId="0" borderId="6" xfId="0" applyFont="1" applyBorder="1" applyAlignment="1">
      <alignment vertical="center" wrapText="1"/>
    </xf>
    <xf numFmtId="0" fontId="18" fillId="0" borderId="5" xfId="0" applyFont="1" applyBorder="1" applyAlignment="1">
      <alignment vertical="center" wrapText="1"/>
    </xf>
    <xf numFmtId="0" fontId="18" fillId="0" borderId="5" xfId="0" applyFont="1" applyBorder="1" applyAlignment="1">
      <alignment vertical="center"/>
    </xf>
    <xf numFmtId="0" fontId="18" fillId="0" borderId="0" xfId="0" applyFont="1" applyAlignment="1">
      <alignment vertical="center"/>
    </xf>
    <xf numFmtId="0" fontId="18" fillId="0" borderId="6" xfId="0" applyFont="1" applyBorder="1" applyAlignment="1">
      <alignment vertical="center"/>
    </xf>
    <xf numFmtId="0" fontId="18" fillId="0" borderId="7" xfId="0" applyFont="1" applyBorder="1" applyAlignment="1">
      <alignment vertical="center"/>
    </xf>
    <xf numFmtId="0" fontId="18" fillId="0" borderId="8" xfId="0" applyFont="1" applyBorder="1" applyAlignment="1">
      <alignment vertical="center"/>
    </xf>
    <xf numFmtId="0" fontId="18" fillId="0" borderId="9" xfId="0" applyFont="1" applyBorder="1" applyAlignment="1">
      <alignment vertical="center"/>
    </xf>
    <xf numFmtId="0" fontId="18" fillId="0" borderId="5" xfId="0" applyFont="1" applyBorder="1" applyAlignment="1">
      <alignment horizontal="left" vertical="center" wrapText="1"/>
    </xf>
    <xf numFmtId="0" fontId="18" fillId="0" borderId="7" xfId="0" applyFont="1" applyBorder="1" applyAlignment="1">
      <alignment horizontal="left" vertical="center" wrapText="1"/>
    </xf>
    <xf numFmtId="0" fontId="18" fillId="0" borderId="2"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5" xfId="0" applyFont="1" applyBorder="1" applyAlignment="1">
      <alignment horizontal="left" vertical="center"/>
    </xf>
    <xf numFmtId="0" fontId="18" fillId="0" borderId="7" xfId="0" applyFont="1" applyBorder="1" applyAlignment="1">
      <alignment horizontal="left" vertical="center"/>
    </xf>
    <xf numFmtId="0" fontId="18" fillId="0" borderId="8" xfId="0" applyFont="1" applyBorder="1" applyAlignment="1">
      <alignment horizontal="left" vertical="center"/>
    </xf>
    <xf numFmtId="0" fontId="18" fillId="0" borderId="9" xfId="0" applyFont="1" applyBorder="1" applyAlignment="1">
      <alignment horizontal="left" vertical="center"/>
    </xf>
    <xf numFmtId="0" fontId="18" fillId="0" borderId="3" xfId="0" quotePrefix="1" applyFont="1" applyBorder="1" applyAlignment="1">
      <alignment horizontal="left" vertical="center" wrapText="1"/>
    </xf>
    <xf numFmtId="0" fontId="18" fillId="0" borderId="4" xfId="0" quotePrefix="1" applyFont="1" applyBorder="1" applyAlignment="1">
      <alignment horizontal="left" vertical="center" wrapText="1"/>
    </xf>
    <xf numFmtId="0" fontId="18" fillId="0" borderId="0" xfId="0" quotePrefix="1" applyFont="1" applyAlignment="1">
      <alignment horizontal="left" vertical="center" wrapText="1"/>
    </xf>
    <xf numFmtId="0" fontId="18" fillId="0" borderId="6" xfId="0" quotePrefix="1" applyFont="1" applyBorder="1" applyAlignment="1">
      <alignment horizontal="left" vertical="center" wrapText="1"/>
    </xf>
    <xf numFmtId="0" fontId="18" fillId="0" borderId="8" xfId="0" quotePrefix="1" applyFont="1" applyBorder="1" applyAlignment="1">
      <alignment horizontal="left" vertical="center" wrapText="1"/>
    </xf>
    <xf numFmtId="0" fontId="18" fillId="0" borderId="9" xfId="0" quotePrefix="1" applyFont="1" applyBorder="1" applyAlignment="1">
      <alignment horizontal="left" vertical="center" wrapText="1"/>
    </xf>
    <xf numFmtId="0" fontId="18" fillId="0" borderId="2" xfId="0" quotePrefix="1"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2" xfId="0" applyFont="1" applyBorder="1" applyAlignment="1">
      <alignment horizontal="left" vertical="center" wrapText="1"/>
    </xf>
    <xf numFmtId="0" fontId="18" fillId="0" borderId="2" xfId="0" quotePrefix="1" applyFont="1" applyBorder="1" applyAlignment="1">
      <alignment horizontal="left" vertical="top" wrapText="1"/>
    </xf>
    <xf numFmtId="0" fontId="18" fillId="0" borderId="3" xfId="0" applyFont="1" applyBorder="1" applyAlignment="1">
      <alignment horizontal="left" vertical="top"/>
    </xf>
    <xf numFmtId="0" fontId="18" fillId="0" borderId="4" xfId="0" applyFont="1" applyBorder="1" applyAlignment="1">
      <alignment horizontal="left" vertical="top"/>
    </xf>
    <xf numFmtId="0" fontId="18" fillId="0" borderId="5" xfId="0" applyFont="1" applyBorder="1" applyAlignment="1">
      <alignment horizontal="left" vertical="top"/>
    </xf>
    <xf numFmtId="0" fontId="18" fillId="0" borderId="0" xfId="0" applyFont="1" applyAlignment="1">
      <alignment horizontal="left" vertical="top"/>
    </xf>
    <xf numFmtId="0" fontId="18" fillId="0" borderId="6" xfId="0" applyFont="1" applyBorder="1" applyAlignment="1">
      <alignment horizontal="left" vertical="top"/>
    </xf>
    <xf numFmtId="0" fontId="18" fillId="0" borderId="7" xfId="0" applyFont="1" applyBorder="1" applyAlignment="1">
      <alignment horizontal="left" vertical="top"/>
    </xf>
    <xf numFmtId="0" fontId="18" fillId="0" borderId="8" xfId="0" applyFont="1" applyBorder="1" applyAlignment="1">
      <alignment horizontal="left" vertical="top"/>
    </xf>
    <xf numFmtId="0" fontId="18" fillId="0" borderId="9" xfId="0" applyFont="1" applyBorder="1" applyAlignment="1">
      <alignment horizontal="left" vertical="top"/>
    </xf>
    <xf numFmtId="0" fontId="15" fillId="2" borderId="0" xfId="0" applyFont="1" applyFill="1" applyAlignment="1">
      <alignment horizontal="center"/>
    </xf>
    <xf numFmtId="0" fontId="20" fillId="2" borderId="10" xfId="0" applyFont="1" applyFill="1" applyBorder="1" applyAlignment="1">
      <alignment horizontal="center"/>
    </xf>
    <xf numFmtId="0" fontId="20" fillId="2" borderId="11" xfId="0" applyFont="1" applyFill="1" applyBorder="1" applyAlignment="1">
      <alignment horizontal="center"/>
    </xf>
    <xf numFmtId="0" fontId="20" fillId="2" borderId="12" xfId="0" applyFont="1" applyFill="1" applyBorder="1" applyAlignment="1">
      <alignment horizontal="center"/>
    </xf>
    <xf numFmtId="0" fontId="18" fillId="4" borderId="8" xfId="0" quotePrefix="1" applyFont="1" applyFill="1" applyBorder="1" applyAlignment="1">
      <alignment vertical="center" wrapText="1"/>
    </xf>
    <xf numFmtId="0" fontId="18" fillId="4" borderId="9" xfId="0" applyFont="1" applyFill="1" applyBorder="1" applyAlignment="1">
      <alignment vertical="center" wrapText="1"/>
    </xf>
    <xf numFmtId="0" fontId="17" fillId="2" borderId="5" xfId="0" applyFont="1" applyFill="1" applyBorder="1" applyAlignment="1">
      <alignment horizontal="center" vertical="center"/>
    </xf>
    <xf numFmtId="0" fontId="17" fillId="2" borderId="0" xfId="0" applyFont="1" applyFill="1" applyAlignment="1">
      <alignment horizontal="center" vertical="center"/>
    </xf>
    <xf numFmtId="0" fontId="18" fillId="4" borderId="0" xfId="0" quotePrefix="1" applyFont="1" applyFill="1" applyAlignment="1">
      <alignment vertical="center" wrapText="1"/>
    </xf>
    <xf numFmtId="0" fontId="18" fillId="4" borderId="0" xfId="0" applyFont="1" applyFill="1" applyAlignment="1">
      <alignment vertical="center" wrapText="1"/>
    </xf>
    <xf numFmtId="0" fontId="18" fillId="6" borderId="0" xfId="0" applyFont="1" applyFill="1" applyAlignment="1">
      <alignment vertical="center" wrapText="1"/>
    </xf>
    <xf numFmtId="0" fontId="18" fillId="6" borderId="6" xfId="0" applyFont="1" applyFill="1" applyBorder="1" applyAlignment="1">
      <alignment vertical="center" wrapText="1"/>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18" fillId="0" borderId="8" xfId="0" applyFont="1" applyBorder="1" applyAlignment="1">
      <alignment vertical="center" wrapText="1"/>
    </xf>
    <xf numFmtId="0" fontId="18" fillId="6" borderId="0" xfId="0" quotePrefix="1" applyFont="1" applyFill="1" applyAlignment="1">
      <alignment vertical="center" wrapText="1"/>
    </xf>
    <xf numFmtId="0" fontId="24" fillId="4" borderId="0" xfId="0" quotePrefix="1" applyFont="1" applyFill="1" applyAlignment="1">
      <alignment vertical="center" wrapText="1"/>
    </xf>
    <xf numFmtId="0" fontId="24" fillId="4" borderId="0" xfId="0" applyFont="1" applyFill="1" applyAlignment="1">
      <alignment vertical="center" wrapText="1"/>
    </xf>
    <xf numFmtId="0" fontId="17" fillId="2" borderId="3" xfId="0" applyFont="1" applyFill="1" applyBorder="1" applyAlignment="1">
      <alignment horizontal="center"/>
    </xf>
    <xf numFmtId="0" fontId="17" fillId="2" borderId="4" xfId="0" applyFont="1" applyFill="1" applyBorder="1" applyAlignment="1">
      <alignment horizontal="center"/>
    </xf>
    <xf numFmtId="0" fontId="18" fillId="6" borderId="0" xfId="0" applyFont="1" applyFill="1" applyAlignment="1">
      <alignment horizontal="left" vertical="center" wrapText="1"/>
    </xf>
    <xf numFmtId="0" fontId="17" fillId="2" borderId="0" xfId="0" applyFont="1" applyFill="1" applyAlignment="1">
      <alignment horizontal="left"/>
    </xf>
    <xf numFmtId="0" fontId="17" fillId="2" borderId="2" xfId="0" applyFont="1" applyFill="1" applyBorder="1" applyAlignment="1">
      <alignment horizontal="center"/>
    </xf>
    <xf numFmtId="0" fontId="22" fillId="0" borderId="0" xfId="0" applyFont="1" applyAlignment="1">
      <alignment vertical="center" wrapText="1"/>
    </xf>
    <xf numFmtId="0" fontId="22" fillId="0" borderId="8" xfId="0" applyFont="1" applyBorder="1" applyAlignment="1">
      <alignment vertical="center" wrapText="1"/>
    </xf>
    <xf numFmtId="0" fontId="17" fillId="2" borderId="5" xfId="0" applyFont="1" applyFill="1" applyBorder="1" applyAlignment="1">
      <alignment horizontal="center"/>
    </xf>
    <xf numFmtId="0" fontId="17" fillId="2" borderId="0" xfId="0" applyFont="1" applyFill="1" applyAlignment="1">
      <alignment horizontal="center"/>
    </xf>
    <xf numFmtId="0" fontId="17" fillId="2" borderId="7" xfId="0" applyFont="1" applyFill="1" applyBorder="1" applyAlignment="1">
      <alignment horizontal="center"/>
    </xf>
    <xf numFmtId="0" fontId="17" fillId="2" borderId="8" xfId="0" applyFont="1" applyFill="1" applyBorder="1" applyAlignment="1">
      <alignment horizontal="center"/>
    </xf>
    <xf numFmtId="0" fontId="22" fillId="4" borderId="0" xfId="0" applyFont="1" applyFill="1" applyAlignment="1">
      <alignment vertical="center" wrapText="1"/>
    </xf>
    <xf numFmtId="0" fontId="22" fillId="4" borderId="8" xfId="0" applyFont="1" applyFill="1" applyBorder="1" applyAlignment="1">
      <alignment vertical="center" wrapText="1"/>
    </xf>
    <xf numFmtId="0" fontId="22" fillId="4" borderId="9" xfId="0" applyFont="1" applyFill="1" applyBorder="1" applyAlignment="1">
      <alignment vertical="center" wrapText="1"/>
    </xf>
    <xf numFmtId="0" fontId="22" fillId="6" borderId="0" xfId="0" applyFont="1" applyFill="1" applyAlignment="1">
      <alignment vertical="center" wrapText="1"/>
    </xf>
    <xf numFmtId="0" fontId="21" fillId="5" borderId="0" xfId="0" applyFont="1" applyFill="1" applyAlignment="1">
      <alignment vertical="center" wrapText="1"/>
    </xf>
    <xf numFmtId="0" fontId="22" fillId="6" borderId="6" xfId="0" applyFont="1" applyFill="1" applyBorder="1" applyAlignment="1">
      <alignment vertical="center" wrapText="1"/>
    </xf>
  </cellXfs>
  <cellStyles count="10">
    <cellStyle name="Bình thường 3" xfId="4" xr:uid="{A36B4ED0-3DCC-4680-ADA7-F6C2C3053DC8}"/>
    <cellStyle name="Comma" xfId="1" builtinId="3"/>
    <cellStyle name="Comma 10 2" xfId="5" xr:uid="{C36E19DF-04BB-4092-B5D9-453977BEF7A9}"/>
    <cellStyle name="Comma 3" xfId="8" xr:uid="{A95A28B0-D15C-486D-A0C1-173C4428F334}"/>
    <cellStyle name="Normal" xfId="0" builtinId="0"/>
    <cellStyle name="Normal 2" xfId="6" xr:uid="{5A939FF6-D27D-414A-8259-97DE1FF37A17}"/>
    <cellStyle name="Normal 3" xfId="3" xr:uid="{7F0993E6-1E7C-4618-9C2C-EEC682FAC800}"/>
    <cellStyle name="Normal_5- UAP 2005_GT (May-Aug)" xfId="7" xr:uid="{15A9C065-33F0-4113-A742-F6E2472BF5B2}"/>
    <cellStyle name="Normal_UAP-Fab Cleaning Dec(20 Dec)" xfId="9" xr:uid="{BA6BDD20-159B-4239-A6C0-05DB7EDED65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Cấu</a:t>
            </a:r>
            <a:r>
              <a:rPr lang="en-US" baseline="0"/>
              <a:t> trúc điểm bán từng khu vực theo vùng bán hàng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'Phân loại điểm bán GT'!$A$9</c:f>
              <c:strCache>
                <c:ptCount val="1"/>
                <c:pt idx="0">
                  <c:v>Vùng 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loại điểm bán GT'!$B$8:$AA$8</c:f>
              <c:strCache>
                <c:ptCount val="26"/>
                <c:pt idx="0">
                  <c:v>OUTLET</c:v>
                </c:pt>
                <c:pt idx="1">
                  <c:v>KHác</c:v>
                </c:pt>
                <c:pt idx="2">
                  <c:v>Cửa hàng chuyên doanh kẹo</c:v>
                </c:pt>
                <c:pt idx="3">
                  <c:v>Cửa hàng chuyên doanh sữa - có tủ đông</c:v>
                </c:pt>
                <c:pt idx="4">
                  <c:v>Cửa hàng tiện lợi GT - ko đông/ có đông</c:v>
                </c:pt>
                <c:pt idx="5">
                  <c:v>Cửa hàng trọng điểm - mặt tiền</c:v>
                </c:pt>
                <c:pt idx="6">
                  <c:v>Cửa hàng trong điểm mặt tiền có tủ đông</c:v>
                </c:pt>
                <c:pt idx="7">
                  <c:v>Cửa hàng trọng điểm trong hẽm / ngõ</c:v>
                </c:pt>
                <c:pt idx="8">
                  <c:v>Cửa hàng trọng điểm trong hẽm / ngõ - có tủ đông</c:v>
                </c:pt>
                <c:pt idx="9">
                  <c:v>Karaoke - quán ăn</c:v>
                </c:pt>
                <c:pt idx="10">
                  <c:v>Sỉ bị động</c:v>
                </c:pt>
                <c:pt idx="11">
                  <c:v>Sỉ chủ động</c:v>
                </c:pt>
                <c:pt idx="12">
                  <c:v>Tạp hóa- bên ngoài chợ</c:v>
                </c:pt>
                <c:pt idx="13">
                  <c:v>Tạp hoá - Lớn - mặt đường - Đi vào/ra,  có/ không tủ</c:v>
                </c:pt>
                <c:pt idx="14">
                  <c:v>Tạp hoá - Nhỏ - trong hẽm/ngõ - Đi vào</c:v>
                </c:pt>
                <c:pt idx="15">
                  <c:v>Tạp hoá - Nhỏ - trong hẽm/ngõ - Đi vào - Có tủ đông</c:v>
                </c:pt>
                <c:pt idx="16">
                  <c:v>Tạp hoá - Nhỏ - trong hẽm/ngõ - Đứng ngoài</c:v>
                </c:pt>
                <c:pt idx="17">
                  <c:v>Tạp hoá - Nhỏ - trong hẽm/ngõ - Đứng ngoài - Có tủ đông</c:v>
                </c:pt>
                <c:pt idx="18">
                  <c:v>Tạp hoá - Nhỏ - mặt đường - Đứng ngoài- </c:v>
                </c:pt>
                <c:pt idx="19">
                  <c:v>Tạp hoá - Nhỏ - mặt đường - Đứng ngoài- có tủ đông</c:v>
                </c:pt>
                <c:pt idx="20">
                  <c:v>Tạp hoá - Nhỏ - trong hẽm/ngõ - Đứng ngoài</c:v>
                </c:pt>
                <c:pt idx="21">
                  <c:v>Tạp hóa trong chợ</c:v>
                </c:pt>
                <c:pt idx="22">
                  <c:v>Cấp 1</c:v>
                </c:pt>
                <c:pt idx="23">
                  <c:v>Cấp 2</c:v>
                </c:pt>
                <c:pt idx="24">
                  <c:v>Cấp 3</c:v>
                </c:pt>
                <c:pt idx="25">
                  <c:v>Sampling</c:v>
                </c:pt>
              </c:strCache>
            </c:strRef>
          </c:cat>
          <c:val>
            <c:numRef>
              <c:f>'Phân loại điểm bán GT'!$B$9:$AA$9</c:f>
              <c:numCache>
                <c:formatCode>General</c:formatCode>
                <c:ptCount val="26"/>
                <c:pt idx="0">
                  <c:v>6195</c:v>
                </c:pt>
                <c:pt idx="1">
                  <c:v>3016</c:v>
                </c:pt>
                <c:pt idx="2">
                  <c:v>13</c:v>
                </c:pt>
                <c:pt idx="3">
                  <c:v>10</c:v>
                </c:pt>
                <c:pt idx="4">
                  <c:v>13</c:v>
                </c:pt>
                <c:pt idx="5">
                  <c:v>473</c:v>
                </c:pt>
                <c:pt idx="6">
                  <c:v>339</c:v>
                </c:pt>
                <c:pt idx="7">
                  <c:v>43</c:v>
                </c:pt>
                <c:pt idx="8">
                  <c:v>34</c:v>
                </c:pt>
                <c:pt idx="9">
                  <c:v>3</c:v>
                </c:pt>
                <c:pt idx="10">
                  <c:v>12</c:v>
                </c:pt>
                <c:pt idx="11">
                  <c:v>5</c:v>
                </c:pt>
                <c:pt idx="12">
                  <c:v>56</c:v>
                </c:pt>
                <c:pt idx="13">
                  <c:v>726</c:v>
                </c:pt>
                <c:pt idx="14">
                  <c:v>171</c:v>
                </c:pt>
                <c:pt idx="15">
                  <c:v>50</c:v>
                </c:pt>
                <c:pt idx="16">
                  <c:v>252</c:v>
                </c:pt>
                <c:pt idx="17">
                  <c:v>59</c:v>
                </c:pt>
                <c:pt idx="21">
                  <c:v>524</c:v>
                </c:pt>
                <c:pt idx="22">
                  <c:v>77</c:v>
                </c:pt>
                <c:pt idx="23">
                  <c:v>27</c:v>
                </c:pt>
                <c:pt idx="24">
                  <c:v>3</c:v>
                </c:pt>
                <c:pt idx="25">
                  <c:v>289</c:v>
                </c:pt>
              </c:numCache>
            </c:numRef>
          </c:val>
          <c:extLst>
            <c:ext xmlns:c16="http://schemas.microsoft.com/office/drawing/2014/chart" uri="{C3380CC4-5D6E-409C-BE32-E72D297353CC}">
              <c16:uniqueId val="{00000000-EE6F-4245-BB03-76B5D0F7EEBE}"/>
            </c:ext>
          </c:extLst>
        </c:ser>
        <c:ser>
          <c:idx val="1"/>
          <c:order val="1"/>
          <c:tx>
            <c:strRef>
              <c:f>'Phân loại điểm bán GT'!$A$10</c:f>
              <c:strCache>
                <c:ptCount val="1"/>
                <c:pt idx="0">
                  <c:v>Vùng 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loại điểm bán GT'!$B$8:$AA$8</c:f>
              <c:strCache>
                <c:ptCount val="26"/>
                <c:pt idx="0">
                  <c:v>OUTLET</c:v>
                </c:pt>
                <c:pt idx="1">
                  <c:v>KHác</c:v>
                </c:pt>
                <c:pt idx="2">
                  <c:v>Cửa hàng chuyên doanh kẹo</c:v>
                </c:pt>
                <c:pt idx="3">
                  <c:v>Cửa hàng chuyên doanh sữa - có tủ đông</c:v>
                </c:pt>
                <c:pt idx="4">
                  <c:v>Cửa hàng tiện lợi GT - ko đông/ có đông</c:v>
                </c:pt>
                <c:pt idx="5">
                  <c:v>Cửa hàng trọng điểm - mặt tiền</c:v>
                </c:pt>
                <c:pt idx="6">
                  <c:v>Cửa hàng trong điểm mặt tiền có tủ đông</c:v>
                </c:pt>
                <c:pt idx="7">
                  <c:v>Cửa hàng trọng điểm trong hẽm / ngõ</c:v>
                </c:pt>
                <c:pt idx="8">
                  <c:v>Cửa hàng trọng điểm trong hẽm / ngõ - có tủ đông</c:v>
                </c:pt>
                <c:pt idx="9">
                  <c:v>Karaoke - quán ăn</c:v>
                </c:pt>
                <c:pt idx="10">
                  <c:v>Sỉ bị động</c:v>
                </c:pt>
                <c:pt idx="11">
                  <c:v>Sỉ chủ động</c:v>
                </c:pt>
                <c:pt idx="12">
                  <c:v>Tạp hóa- bên ngoài chợ</c:v>
                </c:pt>
                <c:pt idx="13">
                  <c:v>Tạp hoá - Lớn - mặt đường - Đi vào/ra,  có/ không tủ</c:v>
                </c:pt>
                <c:pt idx="14">
                  <c:v>Tạp hoá - Nhỏ - trong hẽm/ngõ - Đi vào</c:v>
                </c:pt>
                <c:pt idx="15">
                  <c:v>Tạp hoá - Nhỏ - trong hẽm/ngõ - Đi vào - Có tủ đông</c:v>
                </c:pt>
                <c:pt idx="16">
                  <c:v>Tạp hoá - Nhỏ - trong hẽm/ngõ - Đứng ngoài</c:v>
                </c:pt>
                <c:pt idx="17">
                  <c:v>Tạp hoá - Nhỏ - trong hẽm/ngõ - Đứng ngoài - Có tủ đông</c:v>
                </c:pt>
                <c:pt idx="18">
                  <c:v>Tạp hoá - Nhỏ - mặt đường - Đứng ngoài- </c:v>
                </c:pt>
                <c:pt idx="19">
                  <c:v>Tạp hoá - Nhỏ - mặt đường - Đứng ngoài- có tủ đông</c:v>
                </c:pt>
                <c:pt idx="20">
                  <c:v>Tạp hoá - Nhỏ - trong hẽm/ngõ - Đứng ngoài</c:v>
                </c:pt>
                <c:pt idx="21">
                  <c:v>Tạp hóa trong chợ</c:v>
                </c:pt>
                <c:pt idx="22">
                  <c:v>Cấp 1</c:v>
                </c:pt>
                <c:pt idx="23">
                  <c:v>Cấp 2</c:v>
                </c:pt>
                <c:pt idx="24">
                  <c:v>Cấp 3</c:v>
                </c:pt>
                <c:pt idx="25">
                  <c:v>Sampling</c:v>
                </c:pt>
              </c:strCache>
            </c:strRef>
          </c:cat>
          <c:val>
            <c:numRef>
              <c:f>'Phân loại điểm bán GT'!$B$10:$AA$10</c:f>
              <c:numCache>
                <c:formatCode>General</c:formatCode>
                <c:ptCount val="26"/>
                <c:pt idx="0">
                  <c:v>17591</c:v>
                </c:pt>
                <c:pt idx="1">
                  <c:v>862</c:v>
                </c:pt>
                <c:pt idx="2">
                  <c:v>14</c:v>
                </c:pt>
                <c:pt idx="3">
                  <c:v>1</c:v>
                </c:pt>
                <c:pt idx="4">
                  <c:v>31</c:v>
                </c:pt>
                <c:pt idx="5">
                  <c:v>2539</c:v>
                </c:pt>
                <c:pt idx="6">
                  <c:v>2283</c:v>
                </c:pt>
                <c:pt idx="7">
                  <c:v>273</c:v>
                </c:pt>
                <c:pt idx="8">
                  <c:v>340</c:v>
                </c:pt>
                <c:pt idx="9">
                  <c:v>143</c:v>
                </c:pt>
                <c:pt idx="10">
                  <c:v>209</c:v>
                </c:pt>
                <c:pt idx="11">
                  <c:v>297</c:v>
                </c:pt>
                <c:pt idx="12">
                  <c:v>293</c:v>
                </c:pt>
                <c:pt idx="13">
                  <c:v>1804</c:v>
                </c:pt>
                <c:pt idx="14">
                  <c:v>864</c:v>
                </c:pt>
                <c:pt idx="15">
                  <c:v>283</c:v>
                </c:pt>
                <c:pt idx="17">
                  <c:v>437</c:v>
                </c:pt>
                <c:pt idx="18">
                  <c:v>1596</c:v>
                </c:pt>
                <c:pt idx="19">
                  <c:v>2673</c:v>
                </c:pt>
                <c:pt idx="20">
                  <c:v>334</c:v>
                </c:pt>
                <c:pt idx="21">
                  <c:v>1522</c:v>
                </c:pt>
                <c:pt idx="22">
                  <c:v>41</c:v>
                </c:pt>
                <c:pt idx="23">
                  <c:v>32</c:v>
                </c:pt>
                <c:pt idx="24">
                  <c:v>20</c:v>
                </c:pt>
                <c:pt idx="25">
                  <c:v>700</c:v>
                </c:pt>
              </c:numCache>
            </c:numRef>
          </c:val>
          <c:extLst>
            <c:ext xmlns:c16="http://schemas.microsoft.com/office/drawing/2014/chart" uri="{C3380CC4-5D6E-409C-BE32-E72D297353CC}">
              <c16:uniqueId val="{00000001-EE6F-4245-BB03-76B5D0F7EEBE}"/>
            </c:ext>
          </c:extLst>
        </c:ser>
        <c:ser>
          <c:idx val="2"/>
          <c:order val="2"/>
          <c:tx>
            <c:strRef>
              <c:f>'Phân loại điểm bán GT'!$A$11</c:f>
              <c:strCache>
                <c:ptCount val="1"/>
                <c:pt idx="0">
                  <c:v>Vùng 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loại điểm bán GT'!$B$8:$AA$8</c:f>
              <c:strCache>
                <c:ptCount val="26"/>
                <c:pt idx="0">
                  <c:v>OUTLET</c:v>
                </c:pt>
                <c:pt idx="1">
                  <c:v>KHác</c:v>
                </c:pt>
                <c:pt idx="2">
                  <c:v>Cửa hàng chuyên doanh kẹo</c:v>
                </c:pt>
                <c:pt idx="3">
                  <c:v>Cửa hàng chuyên doanh sữa - có tủ đông</c:v>
                </c:pt>
                <c:pt idx="4">
                  <c:v>Cửa hàng tiện lợi GT - ko đông/ có đông</c:v>
                </c:pt>
                <c:pt idx="5">
                  <c:v>Cửa hàng trọng điểm - mặt tiền</c:v>
                </c:pt>
                <c:pt idx="6">
                  <c:v>Cửa hàng trong điểm mặt tiền có tủ đông</c:v>
                </c:pt>
                <c:pt idx="7">
                  <c:v>Cửa hàng trọng điểm trong hẽm / ngõ</c:v>
                </c:pt>
                <c:pt idx="8">
                  <c:v>Cửa hàng trọng điểm trong hẽm / ngõ - có tủ đông</c:v>
                </c:pt>
                <c:pt idx="9">
                  <c:v>Karaoke - quán ăn</c:v>
                </c:pt>
                <c:pt idx="10">
                  <c:v>Sỉ bị động</c:v>
                </c:pt>
                <c:pt idx="11">
                  <c:v>Sỉ chủ động</c:v>
                </c:pt>
                <c:pt idx="12">
                  <c:v>Tạp hóa- bên ngoài chợ</c:v>
                </c:pt>
                <c:pt idx="13">
                  <c:v>Tạp hoá - Lớn - mặt đường - Đi vào/ra,  có/ không tủ</c:v>
                </c:pt>
                <c:pt idx="14">
                  <c:v>Tạp hoá - Nhỏ - trong hẽm/ngõ - Đi vào</c:v>
                </c:pt>
                <c:pt idx="15">
                  <c:v>Tạp hoá - Nhỏ - trong hẽm/ngõ - Đi vào - Có tủ đông</c:v>
                </c:pt>
                <c:pt idx="16">
                  <c:v>Tạp hoá - Nhỏ - trong hẽm/ngõ - Đứng ngoài</c:v>
                </c:pt>
                <c:pt idx="17">
                  <c:v>Tạp hoá - Nhỏ - trong hẽm/ngõ - Đứng ngoài - Có tủ đông</c:v>
                </c:pt>
                <c:pt idx="18">
                  <c:v>Tạp hoá - Nhỏ - mặt đường - Đứng ngoài- </c:v>
                </c:pt>
                <c:pt idx="19">
                  <c:v>Tạp hoá - Nhỏ - mặt đường - Đứng ngoài- có tủ đông</c:v>
                </c:pt>
                <c:pt idx="20">
                  <c:v>Tạp hoá - Nhỏ - trong hẽm/ngõ - Đứng ngoài</c:v>
                </c:pt>
                <c:pt idx="21">
                  <c:v>Tạp hóa trong chợ</c:v>
                </c:pt>
                <c:pt idx="22">
                  <c:v>Cấp 1</c:v>
                </c:pt>
                <c:pt idx="23">
                  <c:v>Cấp 2</c:v>
                </c:pt>
                <c:pt idx="24">
                  <c:v>Cấp 3</c:v>
                </c:pt>
                <c:pt idx="25">
                  <c:v>Sampling</c:v>
                </c:pt>
              </c:strCache>
            </c:strRef>
          </c:cat>
          <c:val>
            <c:numRef>
              <c:f>'Phân loại điểm bán GT'!$B$11:$AA$11</c:f>
              <c:numCache>
                <c:formatCode>General</c:formatCode>
                <c:ptCount val="26"/>
                <c:pt idx="0">
                  <c:v>10623</c:v>
                </c:pt>
                <c:pt idx="1">
                  <c:v>1448</c:v>
                </c:pt>
                <c:pt idx="2">
                  <c:v>8</c:v>
                </c:pt>
                <c:pt idx="3">
                  <c:v>4</c:v>
                </c:pt>
                <c:pt idx="4">
                  <c:v>3</c:v>
                </c:pt>
                <c:pt idx="5">
                  <c:v>8</c:v>
                </c:pt>
                <c:pt idx="6">
                  <c:v>2035</c:v>
                </c:pt>
                <c:pt idx="7">
                  <c:v>1094</c:v>
                </c:pt>
                <c:pt idx="8">
                  <c:v>62</c:v>
                </c:pt>
                <c:pt idx="9">
                  <c:v>12</c:v>
                </c:pt>
                <c:pt idx="10">
                  <c:v>488</c:v>
                </c:pt>
                <c:pt idx="11">
                  <c:v>1237</c:v>
                </c:pt>
                <c:pt idx="12">
                  <c:v>93</c:v>
                </c:pt>
                <c:pt idx="13">
                  <c:v>20</c:v>
                </c:pt>
                <c:pt idx="14">
                  <c:v>27</c:v>
                </c:pt>
                <c:pt idx="15">
                  <c:v>126</c:v>
                </c:pt>
                <c:pt idx="16">
                  <c:v>1356</c:v>
                </c:pt>
                <c:pt idx="17">
                  <c:v>24</c:v>
                </c:pt>
                <c:pt idx="18">
                  <c:v>139</c:v>
                </c:pt>
                <c:pt idx="19">
                  <c:v>49</c:v>
                </c:pt>
                <c:pt idx="20">
                  <c:v>53</c:v>
                </c:pt>
                <c:pt idx="21">
                  <c:v>1741</c:v>
                </c:pt>
                <c:pt idx="22">
                  <c:v>25</c:v>
                </c:pt>
                <c:pt idx="23">
                  <c:v>6</c:v>
                </c:pt>
                <c:pt idx="24">
                  <c:v>2</c:v>
                </c:pt>
                <c:pt idx="25">
                  <c:v>563</c:v>
                </c:pt>
              </c:numCache>
            </c:numRef>
          </c:val>
          <c:extLst>
            <c:ext xmlns:c16="http://schemas.microsoft.com/office/drawing/2014/chart" uri="{C3380CC4-5D6E-409C-BE32-E72D297353CC}">
              <c16:uniqueId val="{00000002-EE6F-4245-BB03-76B5D0F7EEBE}"/>
            </c:ext>
          </c:extLst>
        </c:ser>
        <c:dLbls>
          <c:showLegendKey val="0"/>
          <c:showVal val="0"/>
          <c:showCatName val="0"/>
          <c:showSerName val="0"/>
          <c:showPercent val="0"/>
          <c:showBubbleSize val="0"/>
        </c:dLbls>
        <c:gapWidth val="150"/>
        <c:overlap val="100"/>
        <c:axId val="787820016"/>
        <c:axId val="787819688"/>
      </c:barChart>
      <c:catAx>
        <c:axId val="78782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19688"/>
        <c:crosses val="autoZero"/>
        <c:auto val="1"/>
        <c:lblAlgn val="ctr"/>
        <c:lblOffset val="100"/>
        <c:noMultiLvlLbl val="0"/>
      </c:catAx>
      <c:valAx>
        <c:axId val="787819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20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Tỉ</a:t>
            </a:r>
            <a:r>
              <a:rPr lang="en-US" baseline="0"/>
              <a:t> trọng điểm bán toàn miền Nam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CC-4FFD-AD9E-38AF074120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C-4FFD-AD9E-38AF074120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CC-4FFD-AD9E-38AF074120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CC-4FFD-AD9E-38AF074120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CC-4FFD-AD9E-38AF074120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BCC-4FFD-AD9E-38AF074120A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CC-4FFD-AD9E-38AF074120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'Phân loại điểm bán GT'!$D$71:$D$77</c:f>
              <c:strCache>
                <c:ptCount val="7"/>
                <c:pt idx="0">
                  <c:v>Tạp Hóa</c:v>
                </c:pt>
                <c:pt idx="1">
                  <c:v>Sỉ</c:v>
                </c:pt>
                <c:pt idx="2">
                  <c:v>KA</c:v>
                </c:pt>
                <c:pt idx="3">
                  <c:v>Khác</c:v>
                </c:pt>
                <c:pt idx="4">
                  <c:v>CH chuyên doanh</c:v>
                </c:pt>
                <c:pt idx="5">
                  <c:v>Horeca</c:v>
                </c:pt>
                <c:pt idx="6">
                  <c:v>Cửa hàng siêu nhỏ/ quán cóc có hàng </c:v>
                </c:pt>
              </c:strCache>
            </c:strRef>
          </c:cat>
          <c:val>
            <c:numRef>
              <c:f>'Phân loại điểm bán GT'!$E$71:$E$77</c:f>
              <c:numCache>
                <c:formatCode>General</c:formatCode>
                <c:ptCount val="7"/>
                <c:pt idx="0">
                  <c:v>15272</c:v>
                </c:pt>
                <c:pt idx="1">
                  <c:v>2248</c:v>
                </c:pt>
                <c:pt idx="2">
                  <c:v>9087</c:v>
                </c:pt>
                <c:pt idx="3">
                  <c:v>5326</c:v>
                </c:pt>
                <c:pt idx="4">
                  <c:v>97</c:v>
                </c:pt>
                <c:pt idx="5">
                  <c:v>391</c:v>
                </c:pt>
                <c:pt idx="6">
                  <c:v>1552</c:v>
                </c:pt>
              </c:numCache>
            </c:numRef>
          </c:val>
          <c:extLst>
            <c:ext xmlns:c16="http://schemas.microsoft.com/office/drawing/2014/chart" uri="{C3380CC4-5D6E-409C-BE32-E72D297353CC}">
              <c16:uniqueId val="{00000000-5B52-4198-A752-1C83B7CA171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HIện</a:t>
            </a:r>
            <a:r>
              <a:rPr lang="en-US" baseline="0"/>
              <a:t> diện các chuỗi HYPER &amp; SUPER MARKET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'Phân loại điểm bán MT'!$L$3</c:f>
              <c:strCache>
                <c:ptCount val="1"/>
                <c:pt idx="0">
                  <c:v>Số lượng HCM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loại điểm bán MT'!$K$4:$K$11</c:f>
              <c:strCache>
                <c:ptCount val="8"/>
                <c:pt idx="0">
                  <c:v> COOP </c:v>
                </c:pt>
                <c:pt idx="1">
                  <c:v> BIG </c:v>
                </c:pt>
                <c:pt idx="2">
                  <c:v> VINMART </c:v>
                </c:pt>
                <c:pt idx="3">
                  <c:v> LOTTE </c:v>
                </c:pt>
                <c:pt idx="4">
                  <c:v> MEGA </c:v>
                </c:pt>
                <c:pt idx="5">
                  <c:v> AEON </c:v>
                </c:pt>
                <c:pt idx="6">
                  <c:v> SATRA </c:v>
                </c:pt>
                <c:pt idx="7">
                  <c:v> EMART </c:v>
                </c:pt>
              </c:strCache>
            </c:strRef>
          </c:cat>
          <c:val>
            <c:numRef>
              <c:f>'Phân loại điểm bán MT'!$L$4:$L$11</c:f>
              <c:numCache>
                <c:formatCode>General</c:formatCode>
                <c:ptCount val="8"/>
                <c:pt idx="0">
                  <c:v>46</c:v>
                </c:pt>
                <c:pt idx="1">
                  <c:v>9</c:v>
                </c:pt>
                <c:pt idx="2">
                  <c:v>22</c:v>
                </c:pt>
                <c:pt idx="3">
                  <c:v>4</c:v>
                </c:pt>
                <c:pt idx="4">
                  <c:v>4</c:v>
                </c:pt>
                <c:pt idx="5">
                  <c:v>2</c:v>
                </c:pt>
                <c:pt idx="6">
                  <c:v>4</c:v>
                </c:pt>
                <c:pt idx="7">
                  <c:v>1</c:v>
                </c:pt>
              </c:numCache>
            </c:numRef>
          </c:val>
          <c:extLst>
            <c:ext xmlns:c16="http://schemas.microsoft.com/office/drawing/2014/chart" uri="{C3380CC4-5D6E-409C-BE32-E72D297353CC}">
              <c16:uniqueId val="{00000000-DBC8-4308-9F3A-BAE67506560D}"/>
            </c:ext>
          </c:extLst>
        </c:ser>
        <c:ser>
          <c:idx val="1"/>
          <c:order val="1"/>
          <c:tx>
            <c:strRef>
              <c:f>'Phân loại điểm bán MT'!$M$3</c:f>
              <c:strCache>
                <c:ptCount val="1"/>
                <c:pt idx="0">
                  <c:v>MTAY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loại điểm bán MT'!$K$4:$K$11</c:f>
              <c:strCache>
                <c:ptCount val="8"/>
                <c:pt idx="0">
                  <c:v> COOP </c:v>
                </c:pt>
                <c:pt idx="1">
                  <c:v> BIG </c:v>
                </c:pt>
                <c:pt idx="2">
                  <c:v> VINMART </c:v>
                </c:pt>
                <c:pt idx="3">
                  <c:v> LOTTE </c:v>
                </c:pt>
                <c:pt idx="4">
                  <c:v> MEGA </c:v>
                </c:pt>
                <c:pt idx="5">
                  <c:v> AEON </c:v>
                </c:pt>
                <c:pt idx="6">
                  <c:v> SATRA </c:v>
                </c:pt>
                <c:pt idx="7">
                  <c:v> EMART </c:v>
                </c:pt>
              </c:strCache>
            </c:strRef>
          </c:cat>
          <c:val>
            <c:numRef>
              <c:f>'Phân loại điểm bán MT'!$M$4:$M$11</c:f>
              <c:numCache>
                <c:formatCode>General</c:formatCode>
                <c:ptCount val="8"/>
                <c:pt idx="0">
                  <c:v>30</c:v>
                </c:pt>
                <c:pt idx="1">
                  <c:v>4</c:v>
                </c:pt>
                <c:pt idx="2">
                  <c:v>14</c:v>
                </c:pt>
                <c:pt idx="3">
                  <c:v>1</c:v>
                </c:pt>
                <c:pt idx="4">
                  <c:v>3</c:v>
                </c:pt>
              </c:numCache>
            </c:numRef>
          </c:val>
          <c:extLst>
            <c:ext xmlns:c16="http://schemas.microsoft.com/office/drawing/2014/chart" uri="{C3380CC4-5D6E-409C-BE32-E72D297353CC}">
              <c16:uniqueId val="{00000001-DBC8-4308-9F3A-BAE67506560D}"/>
            </c:ext>
          </c:extLst>
        </c:ser>
        <c:ser>
          <c:idx val="2"/>
          <c:order val="2"/>
          <c:tx>
            <c:strRef>
              <c:f>'Phân loại điểm bán MT'!$N$3</c:f>
              <c:strCache>
                <c:ptCount val="1"/>
                <c:pt idx="0">
                  <c:v>MDONG</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loại điểm bán MT'!$K$4:$K$11</c:f>
              <c:strCache>
                <c:ptCount val="8"/>
                <c:pt idx="0">
                  <c:v> COOP </c:v>
                </c:pt>
                <c:pt idx="1">
                  <c:v> BIG </c:v>
                </c:pt>
                <c:pt idx="2">
                  <c:v> VINMART </c:v>
                </c:pt>
                <c:pt idx="3">
                  <c:v> LOTTE </c:v>
                </c:pt>
                <c:pt idx="4">
                  <c:v> MEGA </c:v>
                </c:pt>
                <c:pt idx="5">
                  <c:v> AEON </c:v>
                </c:pt>
                <c:pt idx="6">
                  <c:v> SATRA </c:v>
                </c:pt>
                <c:pt idx="7">
                  <c:v> EMART </c:v>
                </c:pt>
              </c:strCache>
            </c:strRef>
          </c:cat>
          <c:val>
            <c:numRef>
              <c:f>'Phân loại điểm bán MT'!$N$4:$N$11</c:f>
              <c:numCache>
                <c:formatCode>General</c:formatCode>
                <c:ptCount val="8"/>
                <c:pt idx="0">
                  <c:v>20</c:v>
                </c:pt>
                <c:pt idx="1">
                  <c:v>5</c:v>
                </c:pt>
                <c:pt idx="2">
                  <c:v>6</c:v>
                </c:pt>
                <c:pt idx="3">
                  <c:v>4</c:v>
                </c:pt>
                <c:pt idx="4">
                  <c:v>3</c:v>
                </c:pt>
                <c:pt idx="5">
                  <c:v>1</c:v>
                </c:pt>
              </c:numCache>
            </c:numRef>
          </c:val>
          <c:extLst>
            <c:ext xmlns:c16="http://schemas.microsoft.com/office/drawing/2014/chart" uri="{C3380CC4-5D6E-409C-BE32-E72D297353CC}">
              <c16:uniqueId val="{00000002-DBC8-4308-9F3A-BAE67506560D}"/>
            </c:ext>
          </c:extLst>
        </c:ser>
        <c:ser>
          <c:idx val="3"/>
          <c:order val="3"/>
          <c:tx>
            <c:strRef>
              <c:f>'Phân loại điểm bán MT'!$O$3</c:f>
              <c:strCache>
                <c:ptCount val="1"/>
                <c:pt idx="0">
                  <c:v>MTRUNG</c:v>
                </c:pt>
              </c:strCache>
            </c:strRef>
          </c:tx>
          <c:spPr>
            <a:solidFill>
              <a:schemeClr val="accent2">
                <a:lumMod val="60000"/>
              </a:schemeClr>
            </a:solidFill>
            <a:ln>
              <a:noFill/>
            </a:ln>
            <a:effectLst/>
          </c:spPr>
          <c:invertIfNegative val="0"/>
          <c:cat>
            <c:strRef>
              <c:f>'Phân loại điểm bán MT'!$K$4:$K$11</c:f>
              <c:strCache>
                <c:ptCount val="8"/>
                <c:pt idx="0">
                  <c:v> COOP </c:v>
                </c:pt>
                <c:pt idx="1">
                  <c:v> BIG </c:v>
                </c:pt>
                <c:pt idx="2">
                  <c:v> VINMART </c:v>
                </c:pt>
                <c:pt idx="3">
                  <c:v> LOTTE </c:v>
                </c:pt>
                <c:pt idx="4">
                  <c:v> MEGA </c:v>
                </c:pt>
                <c:pt idx="5">
                  <c:v> AEON </c:v>
                </c:pt>
                <c:pt idx="6">
                  <c:v> SATRA </c:v>
                </c:pt>
                <c:pt idx="7">
                  <c:v> EMART </c:v>
                </c:pt>
              </c:strCache>
            </c:strRef>
          </c:cat>
          <c:val>
            <c:numRef>
              <c:f>'Phân loại điểm bán MT'!$O$4:$O$11</c:f>
              <c:numCache>
                <c:formatCode>General</c:formatCode>
                <c:ptCount val="8"/>
                <c:pt idx="0">
                  <c:v>22</c:v>
                </c:pt>
                <c:pt idx="1">
                  <c:v>7</c:v>
                </c:pt>
                <c:pt idx="2">
                  <c:v>15</c:v>
                </c:pt>
                <c:pt idx="3">
                  <c:v>2</c:v>
                </c:pt>
                <c:pt idx="4">
                  <c:v>4</c:v>
                </c:pt>
              </c:numCache>
            </c:numRef>
          </c:val>
          <c:extLst>
            <c:ext xmlns:c16="http://schemas.microsoft.com/office/drawing/2014/chart" uri="{C3380CC4-5D6E-409C-BE32-E72D297353CC}">
              <c16:uniqueId val="{00000003-DBC8-4308-9F3A-BAE67506560D}"/>
            </c:ext>
          </c:extLst>
        </c:ser>
        <c:ser>
          <c:idx val="4"/>
          <c:order val="4"/>
          <c:tx>
            <c:strRef>
              <c:f>'Phân loại điểm bán MT'!$P$3</c:f>
              <c:strCache>
                <c:ptCount val="1"/>
                <c:pt idx="0">
                  <c:v>Miền Bắc</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loại điểm bán MT'!$K$4:$K$11</c:f>
              <c:strCache>
                <c:ptCount val="8"/>
                <c:pt idx="0">
                  <c:v> COOP </c:v>
                </c:pt>
                <c:pt idx="1">
                  <c:v> BIG </c:v>
                </c:pt>
                <c:pt idx="2">
                  <c:v> VINMART </c:v>
                </c:pt>
                <c:pt idx="3">
                  <c:v> LOTTE </c:v>
                </c:pt>
                <c:pt idx="4">
                  <c:v> MEGA </c:v>
                </c:pt>
                <c:pt idx="5">
                  <c:v> AEON </c:v>
                </c:pt>
                <c:pt idx="6">
                  <c:v> SATRA </c:v>
                </c:pt>
                <c:pt idx="7">
                  <c:v> EMART </c:v>
                </c:pt>
              </c:strCache>
            </c:strRef>
          </c:cat>
          <c:val>
            <c:numRef>
              <c:f>'Phân loại điểm bán MT'!$P$4:$P$11</c:f>
              <c:numCache>
                <c:formatCode>General</c:formatCode>
                <c:ptCount val="8"/>
                <c:pt idx="0">
                  <c:v>4</c:v>
                </c:pt>
                <c:pt idx="1">
                  <c:v>18</c:v>
                </c:pt>
                <c:pt idx="2">
                  <c:v>64</c:v>
                </c:pt>
                <c:pt idx="3">
                  <c:v>3</c:v>
                </c:pt>
                <c:pt idx="4">
                  <c:v>7</c:v>
                </c:pt>
                <c:pt idx="5">
                  <c:v>3</c:v>
                </c:pt>
              </c:numCache>
            </c:numRef>
          </c:val>
          <c:extLst>
            <c:ext xmlns:c16="http://schemas.microsoft.com/office/drawing/2014/chart" uri="{C3380CC4-5D6E-409C-BE32-E72D297353CC}">
              <c16:uniqueId val="{00000004-DBC8-4308-9F3A-BAE67506560D}"/>
            </c:ext>
          </c:extLst>
        </c:ser>
        <c:dLbls>
          <c:showLegendKey val="0"/>
          <c:showVal val="0"/>
          <c:showCatName val="0"/>
          <c:showSerName val="0"/>
          <c:showPercent val="0"/>
          <c:showBubbleSize val="0"/>
        </c:dLbls>
        <c:gapWidth val="150"/>
        <c:overlap val="100"/>
        <c:axId val="812161656"/>
        <c:axId val="812165920"/>
      </c:barChart>
      <c:catAx>
        <c:axId val="812161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65920"/>
        <c:crosses val="autoZero"/>
        <c:auto val="1"/>
        <c:lblAlgn val="ctr"/>
        <c:lblOffset val="100"/>
        <c:noMultiLvlLbl val="0"/>
      </c:catAx>
      <c:valAx>
        <c:axId val="812165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61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872078394488586E-2"/>
          <c:y val="0.16249864834311442"/>
          <c:w val="0.87755242309872061"/>
          <c:h val="0.64676667289248024"/>
        </c:manualLayout>
      </c:layout>
      <c:pie3DChart>
        <c:varyColors val="1"/>
        <c:ser>
          <c:idx val="0"/>
          <c:order val="0"/>
          <c:tx>
            <c:strRef>
              <c:f>'Phân loại điểm bán MT'!$K$14</c:f>
              <c:strCache>
                <c:ptCount val="1"/>
                <c:pt idx="0">
                  <c:v>SL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2C5-4775-833E-D86A612E300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C5-4775-833E-D86A612E300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2C5-4775-833E-D86A612E300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2C5-4775-833E-D86A612E30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'Phân loại điểm bán MT'!$L$13:$O$13</c:f>
              <c:strCache>
                <c:ptCount val="4"/>
                <c:pt idx="0">
                  <c:v>HYPER + SUPER</c:v>
                </c:pt>
                <c:pt idx="1">
                  <c:v>CVS + CHAIN MINIMART</c:v>
                </c:pt>
                <c:pt idx="2">
                  <c:v>MINIMART</c:v>
                </c:pt>
                <c:pt idx="3">
                  <c:v>WHOLE SALES</c:v>
                </c:pt>
              </c:strCache>
            </c:strRef>
          </c:cat>
          <c:val>
            <c:numRef>
              <c:f>'Phân loại điểm bán MT'!$L$14:$O$14</c:f>
              <c:numCache>
                <c:formatCode>General</c:formatCode>
                <c:ptCount val="4"/>
                <c:pt idx="0">
                  <c:v>331</c:v>
                </c:pt>
                <c:pt idx="1">
                  <c:v>5829</c:v>
                </c:pt>
                <c:pt idx="2">
                  <c:v>145</c:v>
                </c:pt>
                <c:pt idx="3">
                  <c:v>3</c:v>
                </c:pt>
              </c:numCache>
            </c:numRef>
          </c:val>
          <c:extLst>
            <c:ext xmlns:c16="http://schemas.microsoft.com/office/drawing/2014/chart" uri="{C3380CC4-5D6E-409C-BE32-E72D297353CC}">
              <c16:uniqueId val="{00000000-C656-4ABC-B659-C8D0F287CD4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chemeClr val="accent1">
          <a:alpha val="48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data id="1">
      <cx:strDim type="cat">
        <cx:f dir="row">_xlchart.v1.0</cx:f>
      </cx:strDim>
      <cx:numDim type="size">
        <cx:f dir="row">_xlchart.v1.2</cx:f>
      </cx:numDim>
    </cx:data>
    <cx:data id="2">
      <cx:strDim type="cat">
        <cx:f dir="row">_xlchart.v1.0</cx:f>
      </cx:strDim>
      <cx:numDim type="size">
        <cx:f dir="row">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600" b="0" i="0" u="none" strike="noStrike" baseline="0">
                <a:solidFill>
                  <a:sysClr val="windowText" lastClr="000000">
                    <a:lumMod val="65000"/>
                    <a:lumOff val="35000"/>
                  </a:sysClr>
                </a:solidFill>
                <a:latin typeface="Calibri" panose="020F0502020204030204"/>
              </a:rPr>
              <a:t>C</a:t>
            </a:r>
            <a:r>
              <a:rPr lang="vi-VN" sz="1600" b="0" i="0" u="none" strike="noStrike" baseline="0">
                <a:solidFill>
                  <a:sysClr val="windowText" lastClr="000000">
                    <a:lumMod val="65000"/>
                    <a:lumOff val="35000"/>
                  </a:sysClr>
                </a:solidFill>
                <a:latin typeface="Calibri" panose="020F0502020204030204"/>
              </a:rPr>
              <a:t>ơ</a:t>
            </a:r>
            <a:r>
              <a:rPr lang="en-US" sz="1600" b="0" i="0" u="none" strike="noStrike" baseline="0">
                <a:solidFill>
                  <a:sysClr val="windowText" lastClr="000000">
                    <a:lumMod val="65000"/>
                    <a:lumOff val="35000"/>
                  </a:sysClr>
                </a:solidFill>
                <a:latin typeface="Calibri" panose="020F0502020204030204"/>
              </a:rPr>
              <a:t> cấu điểm bán khu vực 1,2,3</a:t>
            </a:r>
          </a:p>
        </cx:rich>
      </cx:tx>
    </cx:title>
    <cx:plotArea>
      <cx:plotAreaRegion>
        <cx:series layoutId="treemap" uniqueId="{9996A1C9-548C-4841-AB7C-EA49EB9A07A8}" formatIdx="0">
          <cx:dataLabels pos="inEnd">
            <cx:txPr>
              <a:bodyPr vertOverflow="overflow" horzOverflow="overflow" wrap="square" lIns="0" tIns="0" rIns="0" bIns="0"/>
              <a:lstStyle/>
              <a:p>
                <a:pPr algn="ctr" rtl="0">
                  <a:defRPr sz="1600" b="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sz="1600"/>
              </a:p>
            </cx:txPr>
            <cx:visibility seriesName="0" categoryName="1" value="0"/>
          </cx:dataLabels>
          <cx:dataId val="0"/>
          <cx:layoutPr>
            <cx:parentLabelLayout val="banner"/>
          </cx:layoutPr>
        </cx:series>
        <cx:series layoutId="treemap" hidden="1" uniqueId="{BEA831A4-2810-4307-BDC6-6A249BA44F9C}" formatIdx="1">
          <cx:dataLabels pos="inEnd">
            <cx:txPr>
              <a:bodyPr vertOverflow="overflow" horzOverflow="overflow" wrap="square" lIns="0" tIns="0" rIns="0" bIns="0"/>
              <a:lstStyle/>
              <a:p>
                <a:pPr algn="ctr" rtl="0">
                  <a:defRPr sz="1600" b="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sz="1600"/>
              </a:p>
            </cx:txPr>
            <cx:visibility seriesName="0" categoryName="1" value="0"/>
          </cx:dataLabels>
          <cx:dataId val="1"/>
          <cx:layoutPr>
            <cx:parentLabelLayout val="banner"/>
          </cx:layoutPr>
        </cx:series>
        <cx:series layoutId="treemap" hidden="1" uniqueId="{87AE366F-7926-49BD-9567-CC77C1027801}" formatIdx="2">
          <cx:dataLabels pos="inEnd">
            <cx:txPr>
              <a:bodyPr vertOverflow="overflow" horzOverflow="overflow" wrap="square" lIns="0" tIns="0" rIns="0" bIns="0"/>
              <a:lstStyle/>
              <a:p>
                <a:pPr algn="ctr" rtl="0">
                  <a:defRPr sz="1600" b="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sz="1600"/>
              </a:p>
            </cx:txPr>
            <cx:visibility seriesName="0" categoryName="1" value="0"/>
          </cx:dataLabels>
          <cx:dataId val="2"/>
          <cx:layoutPr>
            <cx:parentLabelLayout val="banner"/>
          </cx:layoutPr>
        </cx:series>
      </cx:plotAreaRegion>
    </cx:plotArea>
    <cx:legend pos="b" align="ctr" overlay="0">
      <cx:txPr>
        <a:bodyPr vertOverflow="overflow" horzOverflow="overflow" wrap="square" lIns="0" tIns="0" rIns="0" bIns="0"/>
        <a:lstStyle/>
        <a:p>
          <a:pPr algn="ctr" rtl="0">
            <a:defRPr sz="1100" b="0">
              <a:solidFill>
                <a:srgbClr val="44546A"/>
              </a:solidFill>
              <a:latin typeface="Calibri" panose="020F0502020204030204" pitchFamily="34" charset="0"/>
              <a:ea typeface="Calibri" panose="020F0502020204030204" pitchFamily="34" charset="0"/>
              <a:cs typeface="Calibri" panose="020F0502020204030204" pitchFamily="34" charset="0"/>
            </a:defRPr>
          </a:pPr>
          <a:endParaRPr lang="en-US" sz="1100"/>
        </a:p>
      </cx:txPr>
    </cx:legend>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F200AD0-057B-407E-BAA1-041AE1EC36A0}" type="doc">
      <dgm:prSet loTypeId="urn:microsoft.com/office/officeart/2005/8/layout/radial6" loCatId="relationship" qsTypeId="urn:microsoft.com/office/officeart/2005/8/quickstyle/simple1" qsCatId="simple" csTypeId="urn:microsoft.com/office/officeart/2005/8/colors/colorful3" csCatId="colorful" phldr="1"/>
      <dgm:spPr/>
      <dgm:t>
        <a:bodyPr/>
        <a:lstStyle/>
        <a:p>
          <a:endParaRPr lang="en-US"/>
        </a:p>
      </dgm:t>
    </dgm:pt>
    <dgm:pt modelId="{52825A02-8FE9-4C6F-A26D-F99010BB3815}">
      <dgm:prSet phldrT="[Text]"/>
      <dgm:spPr/>
      <dgm:t>
        <a:bodyPr/>
        <a:lstStyle/>
        <a:p>
          <a:r>
            <a:rPr lang="en-US"/>
            <a:t>Trade</a:t>
          </a:r>
        </a:p>
      </dgm:t>
    </dgm:pt>
    <dgm:pt modelId="{999BF7AA-A36E-44CA-93A3-178DCC839AFB}" type="parTrans" cxnId="{BDACAD32-5464-41C1-B65A-12FAB927FE4F}">
      <dgm:prSet/>
      <dgm:spPr/>
      <dgm:t>
        <a:bodyPr/>
        <a:lstStyle/>
        <a:p>
          <a:endParaRPr lang="en-US"/>
        </a:p>
      </dgm:t>
    </dgm:pt>
    <dgm:pt modelId="{CAB264DA-55B8-4825-8802-7FACDBF09D15}" type="sibTrans" cxnId="{BDACAD32-5464-41C1-B65A-12FAB927FE4F}">
      <dgm:prSet/>
      <dgm:spPr/>
      <dgm:t>
        <a:bodyPr/>
        <a:lstStyle/>
        <a:p>
          <a:endParaRPr lang="en-US"/>
        </a:p>
      </dgm:t>
    </dgm:pt>
    <dgm:pt modelId="{BBEF3D8A-581E-40D1-B3A7-2761B12D9FE3}">
      <dgm:prSet phldrT="[Text]"/>
      <dgm:spPr/>
      <dgm:t>
        <a:bodyPr/>
        <a:lstStyle/>
        <a:p>
          <a:r>
            <a:rPr lang="en-US"/>
            <a:t>Brand</a:t>
          </a:r>
        </a:p>
      </dgm:t>
    </dgm:pt>
    <dgm:pt modelId="{17A12CDB-854B-4BA9-AD6F-4DE3B370E28E}" type="parTrans" cxnId="{E7E87055-F9EB-46C5-8B24-010D7CAB16C4}">
      <dgm:prSet/>
      <dgm:spPr/>
      <dgm:t>
        <a:bodyPr/>
        <a:lstStyle/>
        <a:p>
          <a:endParaRPr lang="en-US"/>
        </a:p>
      </dgm:t>
    </dgm:pt>
    <dgm:pt modelId="{8D291A9D-755C-456B-8FED-9A21022E5410}" type="sibTrans" cxnId="{E7E87055-F9EB-46C5-8B24-010D7CAB16C4}">
      <dgm:prSet/>
      <dgm:spPr/>
      <dgm:t>
        <a:bodyPr/>
        <a:lstStyle/>
        <a:p>
          <a:endParaRPr lang="en-US"/>
        </a:p>
      </dgm:t>
    </dgm:pt>
    <dgm:pt modelId="{43E303DA-39F7-4116-90E6-601B7A400AED}">
      <dgm:prSet phldrT="[Text]"/>
      <dgm:spPr/>
      <dgm:t>
        <a:bodyPr/>
        <a:lstStyle/>
        <a:p>
          <a:r>
            <a:rPr lang="en-US"/>
            <a:t>Sales</a:t>
          </a:r>
        </a:p>
      </dgm:t>
    </dgm:pt>
    <dgm:pt modelId="{BB47BD3C-3DC3-4563-B8B3-572E943CA358}" type="parTrans" cxnId="{6447D427-F11C-4191-B273-4EE231D347C3}">
      <dgm:prSet/>
      <dgm:spPr/>
      <dgm:t>
        <a:bodyPr/>
        <a:lstStyle/>
        <a:p>
          <a:endParaRPr lang="en-US"/>
        </a:p>
      </dgm:t>
    </dgm:pt>
    <dgm:pt modelId="{2B6C1CA7-E234-4F84-9A01-8FE7D01517C5}" type="sibTrans" cxnId="{6447D427-F11C-4191-B273-4EE231D347C3}">
      <dgm:prSet/>
      <dgm:spPr/>
      <dgm:t>
        <a:bodyPr/>
        <a:lstStyle/>
        <a:p>
          <a:endParaRPr lang="en-US"/>
        </a:p>
      </dgm:t>
    </dgm:pt>
    <dgm:pt modelId="{BB61A0AA-718D-49D0-9184-A0041913AFB6}">
      <dgm:prSet phldrT="[Text]"/>
      <dgm:spPr/>
      <dgm:t>
        <a:bodyPr/>
        <a:lstStyle/>
        <a:p>
          <a:r>
            <a:rPr lang="en-US"/>
            <a:t>PR</a:t>
          </a:r>
        </a:p>
      </dgm:t>
    </dgm:pt>
    <dgm:pt modelId="{CF6B0281-B305-4822-B52D-E8526DE67475}" type="parTrans" cxnId="{6E6AAE3A-E1F9-4A72-BF83-F8DF3C6921D5}">
      <dgm:prSet/>
      <dgm:spPr/>
      <dgm:t>
        <a:bodyPr/>
        <a:lstStyle/>
        <a:p>
          <a:endParaRPr lang="en-US"/>
        </a:p>
      </dgm:t>
    </dgm:pt>
    <dgm:pt modelId="{333C303C-62FA-4E99-8E0D-3D7139477C6B}" type="sibTrans" cxnId="{6E6AAE3A-E1F9-4A72-BF83-F8DF3C6921D5}">
      <dgm:prSet/>
      <dgm:spPr/>
      <dgm:t>
        <a:bodyPr/>
        <a:lstStyle/>
        <a:p>
          <a:endParaRPr lang="en-US"/>
        </a:p>
      </dgm:t>
    </dgm:pt>
    <dgm:pt modelId="{2190E521-804F-412F-9D6C-616FB3C829C0}">
      <dgm:prSet phldrT="[Text]"/>
      <dgm:spPr/>
      <dgm:t>
        <a:bodyPr/>
        <a:lstStyle/>
        <a:p>
          <a:r>
            <a:rPr lang="en-US"/>
            <a:t>PR</a:t>
          </a:r>
        </a:p>
      </dgm:t>
    </dgm:pt>
    <dgm:pt modelId="{7054AC39-6A65-486D-B298-CF524B33899C}" type="parTrans" cxnId="{F9270BB5-8AC5-485D-BE0D-28967481A432}">
      <dgm:prSet/>
      <dgm:spPr/>
      <dgm:t>
        <a:bodyPr/>
        <a:lstStyle/>
        <a:p>
          <a:endParaRPr lang="en-US"/>
        </a:p>
      </dgm:t>
    </dgm:pt>
    <dgm:pt modelId="{EB9773CF-2017-4CCA-8F5C-ED4D0B871C23}" type="sibTrans" cxnId="{F9270BB5-8AC5-485D-BE0D-28967481A432}">
      <dgm:prSet/>
      <dgm:spPr/>
      <dgm:t>
        <a:bodyPr/>
        <a:lstStyle/>
        <a:p>
          <a:endParaRPr lang="en-US"/>
        </a:p>
      </dgm:t>
    </dgm:pt>
    <dgm:pt modelId="{12C57FEC-B89B-4D36-9060-AB65469E6BF7}" type="pres">
      <dgm:prSet presAssocID="{3F200AD0-057B-407E-BAA1-041AE1EC36A0}" presName="Name0" presStyleCnt="0">
        <dgm:presLayoutVars>
          <dgm:chMax val="1"/>
          <dgm:dir/>
          <dgm:animLvl val="ctr"/>
          <dgm:resizeHandles val="exact"/>
        </dgm:presLayoutVars>
      </dgm:prSet>
      <dgm:spPr/>
    </dgm:pt>
    <dgm:pt modelId="{7F62F070-C0D9-486B-B7B2-D6CF485CA5B1}" type="pres">
      <dgm:prSet presAssocID="{52825A02-8FE9-4C6F-A26D-F99010BB3815}" presName="centerShape" presStyleLbl="node0" presStyleIdx="0" presStyleCnt="1"/>
      <dgm:spPr/>
    </dgm:pt>
    <dgm:pt modelId="{0CBC5EBA-B6D9-4BD8-BD01-5260F2BB0AA9}" type="pres">
      <dgm:prSet presAssocID="{BBEF3D8A-581E-40D1-B3A7-2761B12D9FE3}" presName="node" presStyleLbl="node1" presStyleIdx="0" presStyleCnt="4">
        <dgm:presLayoutVars>
          <dgm:bulletEnabled val="1"/>
        </dgm:presLayoutVars>
      </dgm:prSet>
      <dgm:spPr/>
    </dgm:pt>
    <dgm:pt modelId="{E22ACC02-CDCC-4DF5-9D3D-A7F1E7620C4B}" type="pres">
      <dgm:prSet presAssocID="{BBEF3D8A-581E-40D1-B3A7-2761B12D9FE3}" presName="dummy" presStyleCnt="0"/>
      <dgm:spPr/>
    </dgm:pt>
    <dgm:pt modelId="{7D27D50D-4FE9-4FBB-AEF5-194302782F5D}" type="pres">
      <dgm:prSet presAssocID="{8D291A9D-755C-456B-8FED-9A21022E5410}" presName="sibTrans" presStyleLbl="sibTrans2D1" presStyleIdx="0" presStyleCnt="4"/>
      <dgm:spPr/>
    </dgm:pt>
    <dgm:pt modelId="{351F945D-4185-4587-84A5-042B1FC22F32}" type="pres">
      <dgm:prSet presAssocID="{43E303DA-39F7-4116-90E6-601B7A400AED}" presName="node" presStyleLbl="node1" presStyleIdx="1" presStyleCnt="4">
        <dgm:presLayoutVars>
          <dgm:bulletEnabled val="1"/>
        </dgm:presLayoutVars>
      </dgm:prSet>
      <dgm:spPr/>
    </dgm:pt>
    <dgm:pt modelId="{295B9024-9F0D-423B-8F28-BB659592710C}" type="pres">
      <dgm:prSet presAssocID="{43E303DA-39F7-4116-90E6-601B7A400AED}" presName="dummy" presStyleCnt="0"/>
      <dgm:spPr/>
    </dgm:pt>
    <dgm:pt modelId="{254C6785-468F-42A1-A200-3EF346014933}" type="pres">
      <dgm:prSet presAssocID="{2B6C1CA7-E234-4F84-9A01-8FE7D01517C5}" presName="sibTrans" presStyleLbl="sibTrans2D1" presStyleIdx="1" presStyleCnt="4"/>
      <dgm:spPr/>
    </dgm:pt>
    <dgm:pt modelId="{FD5890F6-DCC5-49AA-B4FF-0B1B6A0F5F2D}" type="pres">
      <dgm:prSet presAssocID="{BB61A0AA-718D-49D0-9184-A0041913AFB6}" presName="node" presStyleLbl="node1" presStyleIdx="2" presStyleCnt="4">
        <dgm:presLayoutVars>
          <dgm:bulletEnabled val="1"/>
        </dgm:presLayoutVars>
      </dgm:prSet>
      <dgm:spPr/>
    </dgm:pt>
    <dgm:pt modelId="{85A23999-77A0-444A-8B0F-AB55393DBB8E}" type="pres">
      <dgm:prSet presAssocID="{BB61A0AA-718D-49D0-9184-A0041913AFB6}" presName="dummy" presStyleCnt="0"/>
      <dgm:spPr/>
    </dgm:pt>
    <dgm:pt modelId="{9F9D9308-E447-4CD2-98AC-2637179E0568}" type="pres">
      <dgm:prSet presAssocID="{333C303C-62FA-4E99-8E0D-3D7139477C6B}" presName="sibTrans" presStyleLbl="sibTrans2D1" presStyleIdx="2" presStyleCnt="4"/>
      <dgm:spPr/>
    </dgm:pt>
    <dgm:pt modelId="{3DEE8BB3-90B0-42E6-AD0D-B93459C20DDF}" type="pres">
      <dgm:prSet presAssocID="{2190E521-804F-412F-9D6C-616FB3C829C0}" presName="node" presStyleLbl="node1" presStyleIdx="3" presStyleCnt="4">
        <dgm:presLayoutVars>
          <dgm:bulletEnabled val="1"/>
        </dgm:presLayoutVars>
      </dgm:prSet>
      <dgm:spPr/>
    </dgm:pt>
    <dgm:pt modelId="{2DAA9384-F2EE-48EF-A84C-24F79B59B366}" type="pres">
      <dgm:prSet presAssocID="{2190E521-804F-412F-9D6C-616FB3C829C0}" presName="dummy" presStyleCnt="0"/>
      <dgm:spPr/>
    </dgm:pt>
    <dgm:pt modelId="{1007F9DC-2E6C-4BEF-A5FC-B36C1783DDE6}" type="pres">
      <dgm:prSet presAssocID="{EB9773CF-2017-4CCA-8F5C-ED4D0B871C23}" presName="sibTrans" presStyleLbl="sibTrans2D1" presStyleIdx="3" presStyleCnt="4"/>
      <dgm:spPr/>
    </dgm:pt>
  </dgm:ptLst>
  <dgm:cxnLst>
    <dgm:cxn modelId="{AE3FA619-2157-4EC9-B8CE-64703B2E50B7}" type="presOf" srcId="{52825A02-8FE9-4C6F-A26D-F99010BB3815}" destId="{7F62F070-C0D9-486B-B7B2-D6CF485CA5B1}" srcOrd="0" destOrd="0" presId="urn:microsoft.com/office/officeart/2005/8/layout/radial6"/>
    <dgm:cxn modelId="{6447D427-F11C-4191-B273-4EE231D347C3}" srcId="{52825A02-8FE9-4C6F-A26D-F99010BB3815}" destId="{43E303DA-39F7-4116-90E6-601B7A400AED}" srcOrd="1" destOrd="0" parTransId="{BB47BD3C-3DC3-4563-B8B3-572E943CA358}" sibTransId="{2B6C1CA7-E234-4F84-9A01-8FE7D01517C5}"/>
    <dgm:cxn modelId="{9310EE2F-31B2-47A0-AA3F-11407C9CBC42}" type="presOf" srcId="{BB61A0AA-718D-49D0-9184-A0041913AFB6}" destId="{FD5890F6-DCC5-49AA-B4FF-0B1B6A0F5F2D}" srcOrd="0" destOrd="0" presId="urn:microsoft.com/office/officeart/2005/8/layout/radial6"/>
    <dgm:cxn modelId="{BDACAD32-5464-41C1-B65A-12FAB927FE4F}" srcId="{3F200AD0-057B-407E-BAA1-041AE1EC36A0}" destId="{52825A02-8FE9-4C6F-A26D-F99010BB3815}" srcOrd="0" destOrd="0" parTransId="{999BF7AA-A36E-44CA-93A3-178DCC839AFB}" sibTransId="{CAB264DA-55B8-4825-8802-7FACDBF09D15}"/>
    <dgm:cxn modelId="{6E6AAE3A-E1F9-4A72-BF83-F8DF3C6921D5}" srcId="{52825A02-8FE9-4C6F-A26D-F99010BB3815}" destId="{BB61A0AA-718D-49D0-9184-A0041913AFB6}" srcOrd="2" destOrd="0" parTransId="{CF6B0281-B305-4822-B52D-E8526DE67475}" sibTransId="{333C303C-62FA-4E99-8E0D-3D7139477C6B}"/>
    <dgm:cxn modelId="{291C5D6F-4934-4B65-BA30-7AF237FF5B87}" type="presOf" srcId="{EB9773CF-2017-4CCA-8F5C-ED4D0B871C23}" destId="{1007F9DC-2E6C-4BEF-A5FC-B36C1783DDE6}" srcOrd="0" destOrd="0" presId="urn:microsoft.com/office/officeart/2005/8/layout/radial6"/>
    <dgm:cxn modelId="{1801FA73-6A29-4C81-9F99-87E6391B35BD}" type="presOf" srcId="{3F200AD0-057B-407E-BAA1-041AE1EC36A0}" destId="{12C57FEC-B89B-4D36-9060-AB65469E6BF7}" srcOrd="0" destOrd="0" presId="urn:microsoft.com/office/officeart/2005/8/layout/radial6"/>
    <dgm:cxn modelId="{E7E87055-F9EB-46C5-8B24-010D7CAB16C4}" srcId="{52825A02-8FE9-4C6F-A26D-F99010BB3815}" destId="{BBEF3D8A-581E-40D1-B3A7-2761B12D9FE3}" srcOrd="0" destOrd="0" parTransId="{17A12CDB-854B-4BA9-AD6F-4DE3B370E28E}" sibTransId="{8D291A9D-755C-456B-8FED-9A21022E5410}"/>
    <dgm:cxn modelId="{ACE11D8A-588B-484D-9E8E-8F36E3D6998B}" type="presOf" srcId="{333C303C-62FA-4E99-8E0D-3D7139477C6B}" destId="{9F9D9308-E447-4CD2-98AC-2637179E0568}" srcOrd="0" destOrd="0" presId="urn:microsoft.com/office/officeart/2005/8/layout/radial6"/>
    <dgm:cxn modelId="{91A7008C-BBA8-470F-B8B8-87628A590C03}" type="presOf" srcId="{2190E521-804F-412F-9D6C-616FB3C829C0}" destId="{3DEE8BB3-90B0-42E6-AD0D-B93459C20DDF}" srcOrd="0" destOrd="0" presId="urn:microsoft.com/office/officeart/2005/8/layout/radial6"/>
    <dgm:cxn modelId="{7181BD96-7C87-45DB-AB9C-BD6C36C293C3}" type="presOf" srcId="{2B6C1CA7-E234-4F84-9A01-8FE7D01517C5}" destId="{254C6785-468F-42A1-A200-3EF346014933}" srcOrd="0" destOrd="0" presId="urn:microsoft.com/office/officeart/2005/8/layout/radial6"/>
    <dgm:cxn modelId="{F8F6A2A3-929E-4EAB-A147-1B76AAF0DAAA}" type="presOf" srcId="{8D291A9D-755C-456B-8FED-9A21022E5410}" destId="{7D27D50D-4FE9-4FBB-AEF5-194302782F5D}" srcOrd="0" destOrd="0" presId="urn:microsoft.com/office/officeart/2005/8/layout/radial6"/>
    <dgm:cxn modelId="{F9270BB5-8AC5-485D-BE0D-28967481A432}" srcId="{52825A02-8FE9-4C6F-A26D-F99010BB3815}" destId="{2190E521-804F-412F-9D6C-616FB3C829C0}" srcOrd="3" destOrd="0" parTransId="{7054AC39-6A65-486D-B298-CF524B33899C}" sibTransId="{EB9773CF-2017-4CCA-8F5C-ED4D0B871C23}"/>
    <dgm:cxn modelId="{8DE529C5-8327-4DD4-9B44-A8D764B36168}" type="presOf" srcId="{BBEF3D8A-581E-40D1-B3A7-2761B12D9FE3}" destId="{0CBC5EBA-B6D9-4BD8-BD01-5260F2BB0AA9}" srcOrd="0" destOrd="0" presId="urn:microsoft.com/office/officeart/2005/8/layout/radial6"/>
    <dgm:cxn modelId="{763AC2F5-FF77-4847-B1AF-4AA52AB22158}" type="presOf" srcId="{43E303DA-39F7-4116-90E6-601B7A400AED}" destId="{351F945D-4185-4587-84A5-042B1FC22F32}" srcOrd="0" destOrd="0" presId="urn:microsoft.com/office/officeart/2005/8/layout/radial6"/>
    <dgm:cxn modelId="{0344A6DC-F517-4B11-8129-4026EE6ED377}" type="presParOf" srcId="{12C57FEC-B89B-4D36-9060-AB65469E6BF7}" destId="{7F62F070-C0D9-486B-B7B2-D6CF485CA5B1}" srcOrd="0" destOrd="0" presId="urn:microsoft.com/office/officeart/2005/8/layout/radial6"/>
    <dgm:cxn modelId="{5B08622B-86B2-4E32-9290-32463B4563A3}" type="presParOf" srcId="{12C57FEC-B89B-4D36-9060-AB65469E6BF7}" destId="{0CBC5EBA-B6D9-4BD8-BD01-5260F2BB0AA9}" srcOrd="1" destOrd="0" presId="urn:microsoft.com/office/officeart/2005/8/layout/radial6"/>
    <dgm:cxn modelId="{FB50E4D0-FBD1-42C7-ADA7-FDE4DE5F450E}" type="presParOf" srcId="{12C57FEC-B89B-4D36-9060-AB65469E6BF7}" destId="{E22ACC02-CDCC-4DF5-9D3D-A7F1E7620C4B}" srcOrd="2" destOrd="0" presId="urn:microsoft.com/office/officeart/2005/8/layout/radial6"/>
    <dgm:cxn modelId="{71268F56-2EE0-4380-962F-6F005C47934F}" type="presParOf" srcId="{12C57FEC-B89B-4D36-9060-AB65469E6BF7}" destId="{7D27D50D-4FE9-4FBB-AEF5-194302782F5D}" srcOrd="3" destOrd="0" presId="urn:microsoft.com/office/officeart/2005/8/layout/radial6"/>
    <dgm:cxn modelId="{2F0063A5-123F-407C-A3E3-2167CB0418DB}" type="presParOf" srcId="{12C57FEC-B89B-4D36-9060-AB65469E6BF7}" destId="{351F945D-4185-4587-84A5-042B1FC22F32}" srcOrd="4" destOrd="0" presId="urn:microsoft.com/office/officeart/2005/8/layout/radial6"/>
    <dgm:cxn modelId="{DC125D33-8D56-4E65-AE39-C0663D5B17A8}" type="presParOf" srcId="{12C57FEC-B89B-4D36-9060-AB65469E6BF7}" destId="{295B9024-9F0D-423B-8F28-BB659592710C}" srcOrd="5" destOrd="0" presId="urn:microsoft.com/office/officeart/2005/8/layout/radial6"/>
    <dgm:cxn modelId="{523296BF-BB95-4191-BBB5-A8FD441C65A1}" type="presParOf" srcId="{12C57FEC-B89B-4D36-9060-AB65469E6BF7}" destId="{254C6785-468F-42A1-A200-3EF346014933}" srcOrd="6" destOrd="0" presId="urn:microsoft.com/office/officeart/2005/8/layout/radial6"/>
    <dgm:cxn modelId="{27F4FDC0-1BF1-4B42-AA25-7D520BE16733}" type="presParOf" srcId="{12C57FEC-B89B-4D36-9060-AB65469E6BF7}" destId="{FD5890F6-DCC5-49AA-B4FF-0B1B6A0F5F2D}" srcOrd="7" destOrd="0" presId="urn:microsoft.com/office/officeart/2005/8/layout/radial6"/>
    <dgm:cxn modelId="{E74D8B98-DA34-460A-82F7-5E571E7E8BD7}" type="presParOf" srcId="{12C57FEC-B89B-4D36-9060-AB65469E6BF7}" destId="{85A23999-77A0-444A-8B0F-AB55393DBB8E}" srcOrd="8" destOrd="0" presId="urn:microsoft.com/office/officeart/2005/8/layout/radial6"/>
    <dgm:cxn modelId="{9EAFAFCF-77FC-49F7-8C44-F2F3A7608C5C}" type="presParOf" srcId="{12C57FEC-B89B-4D36-9060-AB65469E6BF7}" destId="{9F9D9308-E447-4CD2-98AC-2637179E0568}" srcOrd="9" destOrd="0" presId="urn:microsoft.com/office/officeart/2005/8/layout/radial6"/>
    <dgm:cxn modelId="{D7A39B95-8CD2-422F-ABF9-29443A6135A4}" type="presParOf" srcId="{12C57FEC-B89B-4D36-9060-AB65469E6BF7}" destId="{3DEE8BB3-90B0-42E6-AD0D-B93459C20DDF}" srcOrd="10" destOrd="0" presId="urn:microsoft.com/office/officeart/2005/8/layout/radial6"/>
    <dgm:cxn modelId="{569EBF8A-AE0B-4470-9EB3-52F55E6D816B}" type="presParOf" srcId="{12C57FEC-B89B-4D36-9060-AB65469E6BF7}" destId="{2DAA9384-F2EE-48EF-A84C-24F79B59B366}" srcOrd="11" destOrd="0" presId="urn:microsoft.com/office/officeart/2005/8/layout/radial6"/>
    <dgm:cxn modelId="{AB41E3AE-383E-468E-9F46-5C1F582332F7}" type="presParOf" srcId="{12C57FEC-B89B-4D36-9060-AB65469E6BF7}" destId="{1007F9DC-2E6C-4BEF-A5FC-B36C1783DDE6}" srcOrd="12" destOrd="0" presId="urn:microsoft.com/office/officeart/2005/8/layout/radial6"/>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007F9DC-2E6C-4BEF-A5FC-B36C1783DDE6}">
      <dsp:nvSpPr>
        <dsp:cNvPr id="0" name=""/>
        <dsp:cNvSpPr/>
      </dsp:nvSpPr>
      <dsp:spPr>
        <a:xfrm>
          <a:off x="3238558" y="249613"/>
          <a:ext cx="1668663" cy="1668663"/>
        </a:xfrm>
        <a:prstGeom prst="blockArc">
          <a:avLst>
            <a:gd name="adj1" fmla="val 10800000"/>
            <a:gd name="adj2" fmla="val 16200000"/>
            <a:gd name="adj3" fmla="val 4637"/>
          </a:avLst>
        </a:prstGeom>
        <a:solidFill>
          <a:schemeClr val="accent3">
            <a:hueOff val="2710599"/>
            <a:satOff val="100000"/>
            <a:lumOff val="-14706"/>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9F9D9308-E447-4CD2-98AC-2637179E0568}">
      <dsp:nvSpPr>
        <dsp:cNvPr id="0" name=""/>
        <dsp:cNvSpPr/>
      </dsp:nvSpPr>
      <dsp:spPr>
        <a:xfrm>
          <a:off x="3238558" y="249613"/>
          <a:ext cx="1668663" cy="1668663"/>
        </a:xfrm>
        <a:prstGeom prst="blockArc">
          <a:avLst>
            <a:gd name="adj1" fmla="val 5400000"/>
            <a:gd name="adj2" fmla="val 10800000"/>
            <a:gd name="adj3" fmla="val 4637"/>
          </a:avLst>
        </a:prstGeom>
        <a:solidFill>
          <a:schemeClr val="accent3">
            <a:hueOff val="1807066"/>
            <a:satOff val="66667"/>
            <a:lumOff val="-9804"/>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254C6785-468F-42A1-A200-3EF346014933}">
      <dsp:nvSpPr>
        <dsp:cNvPr id="0" name=""/>
        <dsp:cNvSpPr/>
      </dsp:nvSpPr>
      <dsp:spPr>
        <a:xfrm>
          <a:off x="3238558" y="249613"/>
          <a:ext cx="1668663" cy="1668663"/>
        </a:xfrm>
        <a:prstGeom prst="blockArc">
          <a:avLst>
            <a:gd name="adj1" fmla="val 0"/>
            <a:gd name="adj2" fmla="val 5400000"/>
            <a:gd name="adj3" fmla="val 4637"/>
          </a:avLst>
        </a:prstGeom>
        <a:solidFill>
          <a:schemeClr val="accent3">
            <a:hueOff val="903533"/>
            <a:satOff val="33333"/>
            <a:lumOff val="-4902"/>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7D27D50D-4FE9-4FBB-AEF5-194302782F5D}">
      <dsp:nvSpPr>
        <dsp:cNvPr id="0" name=""/>
        <dsp:cNvSpPr/>
      </dsp:nvSpPr>
      <dsp:spPr>
        <a:xfrm>
          <a:off x="3238558" y="249613"/>
          <a:ext cx="1668663" cy="1668663"/>
        </a:xfrm>
        <a:prstGeom prst="blockArc">
          <a:avLst>
            <a:gd name="adj1" fmla="val 16200000"/>
            <a:gd name="adj2" fmla="val 0"/>
            <a:gd name="adj3" fmla="val 4637"/>
          </a:avLst>
        </a:prstGeom>
        <a:solidFill>
          <a:schemeClr val="accent3">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sp>
    <dsp:sp modelId="{7F62F070-C0D9-486B-B7B2-D6CF485CA5B1}">
      <dsp:nvSpPr>
        <dsp:cNvPr id="0" name=""/>
        <dsp:cNvSpPr/>
      </dsp:nvSpPr>
      <dsp:spPr>
        <a:xfrm>
          <a:off x="3689067" y="700122"/>
          <a:ext cx="767644" cy="767644"/>
        </a:xfrm>
        <a:prstGeom prst="ellipse">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marL="0" lvl="0" indent="0" algn="ctr" defTabSz="755650">
            <a:lnSpc>
              <a:spcPct val="90000"/>
            </a:lnSpc>
            <a:spcBef>
              <a:spcPct val="0"/>
            </a:spcBef>
            <a:spcAft>
              <a:spcPct val="35000"/>
            </a:spcAft>
            <a:buNone/>
          </a:pPr>
          <a:r>
            <a:rPr lang="en-US" sz="1700" kern="1200"/>
            <a:t>Trade</a:t>
          </a:r>
        </a:p>
      </dsp:txBody>
      <dsp:txXfrm>
        <a:off x="3801486" y="812541"/>
        <a:ext cx="542806" cy="542806"/>
      </dsp:txXfrm>
    </dsp:sp>
    <dsp:sp modelId="{0CBC5EBA-B6D9-4BD8-BD01-5260F2BB0AA9}">
      <dsp:nvSpPr>
        <dsp:cNvPr id="0" name=""/>
        <dsp:cNvSpPr/>
      </dsp:nvSpPr>
      <dsp:spPr>
        <a:xfrm>
          <a:off x="3804214" y="282"/>
          <a:ext cx="537351" cy="537351"/>
        </a:xfrm>
        <a:prstGeom prst="ellipse">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3970" tIns="13970" rIns="13970" bIns="13970" numCol="1" spcCol="1270" anchor="ctr" anchorCtr="0">
          <a:noAutofit/>
        </a:bodyPr>
        <a:lstStyle/>
        <a:p>
          <a:pPr marL="0" lvl="0" indent="0" algn="ctr" defTabSz="488950">
            <a:lnSpc>
              <a:spcPct val="90000"/>
            </a:lnSpc>
            <a:spcBef>
              <a:spcPct val="0"/>
            </a:spcBef>
            <a:spcAft>
              <a:spcPct val="35000"/>
            </a:spcAft>
            <a:buNone/>
          </a:pPr>
          <a:r>
            <a:rPr lang="en-US" sz="1100" kern="1200"/>
            <a:t>Brand</a:t>
          </a:r>
        </a:p>
      </dsp:txBody>
      <dsp:txXfrm>
        <a:off x="3882907" y="78975"/>
        <a:ext cx="379965" cy="379965"/>
      </dsp:txXfrm>
    </dsp:sp>
    <dsp:sp modelId="{351F945D-4185-4587-84A5-042B1FC22F32}">
      <dsp:nvSpPr>
        <dsp:cNvPr id="0" name=""/>
        <dsp:cNvSpPr/>
      </dsp:nvSpPr>
      <dsp:spPr>
        <a:xfrm>
          <a:off x="4619201" y="815269"/>
          <a:ext cx="537351" cy="537351"/>
        </a:xfrm>
        <a:prstGeom prst="ellipse">
          <a:avLst/>
        </a:prstGeom>
        <a:solidFill>
          <a:schemeClr val="accent3">
            <a:hueOff val="903533"/>
            <a:satOff val="33333"/>
            <a:lumOff val="-4902"/>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3970" tIns="13970" rIns="13970" bIns="13970" numCol="1" spcCol="1270" anchor="ctr" anchorCtr="0">
          <a:noAutofit/>
        </a:bodyPr>
        <a:lstStyle/>
        <a:p>
          <a:pPr marL="0" lvl="0" indent="0" algn="ctr" defTabSz="488950">
            <a:lnSpc>
              <a:spcPct val="90000"/>
            </a:lnSpc>
            <a:spcBef>
              <a:spcPct val="0"/>
            </a:spcBef>
            <a:spcAft>
              <a:spcPct val="35000"/>
            </a:spcAft>
            <a:buNone/>
          </a:pPr>
          <a:r>
            <a:rPr lang="en-US" sz="1100" kern="1200"/>
            <a:t>Sales</a:t>
          </a:r>
        </a:p>
      </dsp:txBody>
      <dsp:txXfrm>
        <a:off x="4697894" y="893962"/>
        <a:ext cx="379965" cy="379965"/>
      </dsp:txXfrm>
    </dsp:sp>
    <dsp:sp modelId="{FD5890F6-DCC5-49AA-B4FF-0B1B6A0F5F2D}">
      <dsp:nvSpPr>
        <dsp:cNvPr id="0" name=""/>
        <dsp:cNvSpPr/>
      </dsp:nvSpPr>
      <dsp:spPr>
        <a:xfrm>
          <a:off x="3804214" y="1630256"/>
          <a:ext cx="537351" cy="537351"/>
        </a:xfrm>
        <a:prstGeom prst="ellipse">
          <a:avLst/>
        </a:prstGeom>
        <a:solidFill>
          <a:schemeClr val="accent3">
            <a:hueOff val="1807066"/>
            <a:satOff val="66667"/>
            <a:lumOff val="-9804"/>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3970" tIns="13970" rIns="13970" bIns="13970" numCol="1" spcCol="1270" anchor="ctr" anchorCtr="0">
          <a:noAutofit/>
        </a:bodyPr>
        <a:lstStyle/>
        <a:p>
          <a:pPr marL="0" lvl="0" indent="0" algn="ctr" defTabSz="488950">
            <a:lnSpc>
              <a:spcPct val="90000"/>
            </a:lnSpc>
            <a:spcBef>
              <a:spcPct val="0"/>
            </a:spcBef>
            <a:spcAft>
              <a:spcPct val="35000"/>
            </a:spcAft>
            <a:buNone/>
          </a:pPr>
          <a:r>
            <a:rPr lang="en-US" sz="1100" kern="1200"/>
            <a:t>PR</a:t>
          </a:r>
        </a:p>
      </dsp:txBody>
      <dsp:txXfrm>
        <a:off x="3882907" y="1708949"/>
        <a:ext cx="379965" cy="379965"/>
      </dsp:txXfrm>
    </dsp:sp>
    <dsp:sp modelId="{3DEE8BB3-90B0-42E6-AD0D-B93459C20DDF}">
      <dsp:nvSpPr>
        <dsp:cNvPr id="0" name=""/>
        <dsp:cNvSpPr/>
      </dsp:nvSpPr>
      <dsp:spPr>
        <a:xfrm>
          <a:off x="2989227" y="815269"/>
          <a:ext cx="537351" cy="537351"/>
        </a:xfrm>
        <a:prstGeom prst="ellipse">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3970" tIns="13970" rIns="13970" bIns="13970" numCol="1" spcCol="1270" anchor="ctr" anchorCtr="0">
          <a:noAutofit/>
        </a:bodyPr>
        <a:lstStyle/>
        <a:p>
          <a:pPr marL="0" lvl="0" indent="0" algn="ctr" defTabSz="488950">
            <a:lnSpc>
              <a:spcPct val="90000"/>
            </a:lnSpc>
            <a:spcBef>
              <a:spcPct val="0"/>
            </a:spcBef>
            <a:spcAft>
              <a:spcPct val="35000"/>
            </a:spcAft>
            <a:buNone/>
          </a:pPr>
          <a:r>
            <a:rPr lang="en-US" sz="1100" kern="1200"/>
            <a:t>PR</a:t>
          </a:r>
        </a:p>
      </dsp:txBody>
      <dsp:txXfrm>
        <a:off x="3067920" y="893962"/>
        <a:ext cx="379965" cy="379965"/>
      </dsp:txXfrm>
    </dsp:sp>
  </dsp:spTree>
</dsp:drawing>
</file>

<file path=xl/diagrams/layout1.xml><?xml version="1.0" encoding="utf-8"?>
<dgm:layoutDef xmlns:dgm="http://schemas.openxmlformats.org/drawingml/2006/diagram" xmlns:a="http://schemas.openxmlformats.org/drawingml/2006/main" uniqueId="urn:microsoft.com/office/officeart/2005/8/layout/radial6">
  <dgm:title val=""/>
  <dgm:desc val=""/>
  <dgm:catLst>
    <dgm:cat type="cycle" pri="9000"/>
    <dgm:cat type="relationship" pri="21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Name0">
    <dgm:varLst>
      <dgm:chMax val="1"/>
      <dgm:dir/>
      <dgm:animLvl val="ctr"/>
      <dgm:resizeHandles val="exact"/>
    </dgm:varLst>
    <dgm:choose name="Name1">
      <dgm:if name="Name2" func="var" arg="dir" op="equ" val="norm">
        <dgm:choose name="Name3">
          <dgm:if name="Name4" axis="ch ch" ptType="node node" st="1 1" cnt="1 0" func="cnt" op="lte" val="1">
            <dgm:alg type="cycle">
              <dgm:param type="stAng" val="90"/>
              <dgm:param type="spanAng" val="360"/>
              <dgm:param type="ctrShpMap" val="fNode"/>
            </dgm:alg>
          </dgm:if>
          <dgm:else name="Name5">
            <dgm:alg type="cycle">
              <dgm:param type="stAng" val="0"/>
              <dgm:param type="spanAng" val="360"/>
              <dgm:param type="ctrShpMap" val="fNode"/>
            </dgm:alg>
          </dgm:else>
        </dgm:choose>
      </dgm:if>
      <dgm:else name="Name6">
        <dgm:choose name="Name7">
          <dgm:if name="Name8" axis="ch ch" ptType="node node" st="1 1" cnt="1 0" func="cnt" op="lte" val="1">
            <dgm:alg type="cycle">
              <dgm:param type="stAng" val="-90"/>
              <dgm:param type="spanAng" val="360"/>
              <dgm:param type="ctrShpMap" val="fNode"/>
            </dgm:alg>
          </dgm:if>
          <dgm:else name="Name9">
            <dgm:alg type="cycle">
              <dgm:param type="stAng" val="0"/>
              <dgm:param type="spanAng" val="-360"/>
              <dgm:param type="ctrShpMap" val="fNode"/>
            </dgm:alg>
          </dgm:else>
        </dgm:choose>
      </dgm:else>
    </dgm:choose>
    <dgm:shape xmlns:r="http://schemas.openxmlformats.org/officeDocument/2006/relationships" r:blip="">
      <dgm:adjLst/>
    </dgm:shape>
    <dgm:presOf/>
    <dgm:choose name="Name10">
      <dgm:if name="Name11" func="var" arg="dir" op="equ" val="norm">
        <dgm:choose name="Name12">
          <dgm:if name="Name13" axis="ch ch" ptType="node node" st="1 1" cnt="1 0" func="cnt" op="equ" val="1">
            <dgm:constrLst>
              <dgm:constr type="diam" val="170"/>
              <dgm:constr type="w" for="ch" forName="centerShape" refType="w"/>
              <dgm:constr type="w" for="ch" forName="oneComp" refType="w" refFor="ch" refForName="centerShape" op="equ" fact="0.7"/>
              <dgm:constr type="sp" refType="w" refFor="ch" refForName="oneComp" fact="0.3"/>
              <dgm:constr type="sibSp" refType="w" refFor="ch" refForName="oneComp" fact="0.3"/>
              <dgm:constr type="primFontSz" for="ch" forName="centerShape" val="65"/>
              <dgm:constr type="primFontSz" for="des" forName="oneNode" refType="primFontSz" refFor="ch" refForName="centerShape" fact="0.95"/>
              <dgm:constr type="primFontSz" for="des" forName="oneNode" refType="primFontSz" refFor="ch" refForName="centerShape" op="lte" fact="0.95"/>
              <dgm:constr type="diam" for="ch" forName="singleconn" refType="diam" op="equ" fact="-1"/>
              <dgm:constr type="h" for="ch" forName="singleconn" refType="w" refFor="ch" refForName="oneComp" fact="0.24"/>
              <dgm:constr type="w" for="ch" forName="dummya" refType="w" refFor="ch" refForName="oneComp" op="equ"/>
              <dgm:constr type="w" for="ch" forName="dummyb" refType="w" refFor="ch" refForName="oneComp" op="equ"/>
              <dgm:constr type="w" for="ch" forName="dummyc" refType="w" refFor="ch" refForName="oneComp" op="equ"/>
            </dgm:constrLst>
          </dgm:if>
          <dgm:else name="Name14">
            <dgm:constrLst>
              <dgm:constr type="diam" val="170"/>
              <dgm:constr type="w" for="ch" forName="centerShape" refType="w"/>
              <dgm:constr type="w" for="ch" forName="node" refType="w" refFor="ch" refForName="centerShape" op="equ" fact="0.7"/>
              <dgm:constr type="sp" refType="w" refFor="ch" refForName="node" fact="0.3"/>
              <dgm:constr type="sibSp" refType="w" refFor="ch" refForName="node" fact="0.3"/>
              <dgm:constr type="primFontSz" for="ch" forName="centerShape" val="65"/>
              <dgm:constr type="primFontSz" for="des" forName="node" refType="primFontSz" refFor="ch" refForName="centerShape" fact="0.78"/>
              <dgm:constr type="primFontSz" for="ch" forName="node" refType="primFontSz" refFor="ch" refForName="centerShape" op="lte" fact="0.95"/>
              <dgm:constr type="diam" for="ch" forName="sibTrans" refType="diam" op="equ"/>
              <dgm:constr type="h" for="ch" forName="sibTrans" refType="w" refFor="ch" refForName="node" fact="0.24"/>
              <dgm:constr type="w" for="ch" forName="dummy" val="1"/>
            </dgm:constrLst>
          </dgm:else>
        </dgm:choose>
      </dgm:if>
      <dgm:else name="Name15">
        <dgm:choose name="Name16">
          <dgm:if name="Name17" axis="ch ch" ptType="node node" st="1 1" cnt="1 0" func="cnt" op="equ" val="1">
            <dgm:constrLst>
              <dgm:constr type="diam" val="170"/>
              <dgm:constr type="w" for="ch" forName="centerShape" refType="w"/>
              <dgm:constr type="w" for="ch" forName="oneComp" refType="w" refFor="ch" refForName="centerShape" op="equ" fact="0.7"/>
              <dgm:constr type="sp" refType="w" refFor="ch" refForName="oneComp" fact="0.3"/>
              <dgm:constr type="sibSp" refType="w" refFor="ch" refForName="oneComp" fact="0.3"/>
              <dgm:constr type="primFontSz" for="ch" forName="centerShape" val="65"/>
              <dgm:constr type="primFontSz" for="des" forName="oneNode" refType="primFontSz" refFor="ch" refForName="centerShape" fact="0.95"/>
              <dgm:constr type="primFontSz" for="ch" forName="oneNode" refType="primFontSz" refFor="ch" refForName="centerShape" op="lte" fact="0.95"/>
              <dgm:constr type="diam" for="ch" forName="singleconn" refType="diam"/>
              <dgm:constr type="h" for="ch" forName="singleconn" refType="w" refFor="ch" refForName="oneComp" fact="0.24"/>
              <dgm:constr type="diam" for="ch" refType="diam" op="equ"/>
              <dgm:constr type="w" for="ch" forName="dummya" refType="w" refFor="ch" refForName="oneComp" op="equ"/>
              <dgm:constr type="w" for="ch" forName="dummyb" refType="w" refFor="ch" refForName="oneComp" op="equ"/>
              <dgm:constr type="w" for="ch" forName="dummyc" refType="w" refFor="ch" refForName="oneComp" op="equ"/>
            </dgm:constrLst>
          </dgm:if>
          <dgm:else name="Name18">
            <dgm:constrLst>
              <dgm:constr type="diam" val="170"/>
              <dgm:constr type="w" for="ch" forName="centerShape" refType="w"/>
              <dgm:constr type="w" for="ch" forName="node" refType="w" refFor="ch" refForName="centerShape" op="equ" fact="0.7"/>
              <dgm:constr type="sp" refType="w" refFor="ch" refForName="node" fact="0.3"/>
              <dgm:constr type="sibSp" refType="w" refFor="ch" refForName="node" fact="0.3"/>
              <dgm:constr type="primFontSz" for="ch" forName="centerShape" val="65"/>
              <dgm:constr type="primFontSz" for="des" forName="node" refType="primFontSz" refFor="ch" refForName="centerShape" fact="0.78"/>
              <dgm:constr type="primFontSz" for="ch" forName="node" refType="primFontSz" refFor="ch" refForName="centerShape" op="lte" fact="0.95"/>
              <dgm:constr type="diam" for="ch" ptType="sibTrans" refType="diam" fact="-1"/>
              <dgm:constr type="h" for="ch" forName="sibTrans" refType="w" refFor="ch" refForName="node" fact="0.24"/>
              <dgm:constr type="diam" for="ch" refType="diam" op="equ" fact="-1"/>
              <dgm:constr type="w" for="ch" forName="dummy" val="1"/>
            </dgm:constrLst>
          </dgm:else>
        </dgm:choose>
      </dgm:else>
    </dgm:choose>
    <dgm:ruleLst>
      <dgm:rule type="diam" val="INF" fact="NaN" max="NaN"/>
    </dgm:ruleLst>
    <dgm:forEach name="Name19"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name="Name20" axis="ch">
        <dgm:forEach name="Name21" axis="self" ptType="node">
          <dgm:choose name="Name22">
            <dgm:if name="Name23" axis="par ch" ptType="node node" func="cnt" op="gt" val="1">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layoutNode name="dummy">
                <dgm:alg type="sp"/>
                <dgm:shape xmlns:r="http://schemas.openxmlformats.org/officeDocument/2006/relationships" r:blip="">
                  <dgm:adjLst/>
                </dgm:shape>
                <dgm:presOf/>
                <dgm:constrLst>
                  <dgm:constr type="h" refType="w"/>
                </dgm:constrLst>
                <dgm:ruleLst/>
              </dgm:layoutNode>
              <dgm:forEach name="sibTransForEach" axis="followSib" ptType="sibTrans" hideLastTrans="0" cnt="1">
                <dgm:layoutNode name="sibTrans" styleLbl="sibTrans2D1">
                  <dgm:alg type="conn">
                    <dgm:param type="connRout" val="curve"/>
                    <dgm:param type="begPts" val="ctr"/>
                    <dgm:param type="endPts" val="ctr"/>
                    <dgm:param type="begSty" val="noArr"/>
                    <dgm:param type="endSty" val="noArr"/>
                    <dgm:param type="dstNode" val="node"/>
                  </dgm:alg>
                  <dgm:shape xmlns:r="http://schemas.openxmlformats.org/officeDocument/2006/relationships" type="conn" r:blip="" zOrderOff="-999">
                    <dgm:adjLst/>
                  </dgm:shape>
                  <dgm:presOf axis="self"/>
                  <dgm:constrLst>
                    <dgm:constr type="begPad"/>
                    <dgm:constr type="endPad"/>
                  </dgm:constrLst>
                  <dgm:ruleLst/>
                </dgm:layoutNode>
              </dgm:forEach>
            </dgm:if>
            <dgm:if name="Name24" axis="par ch" ptType="node node" func="cnt" op="equ" val="1">
              <dgm:layoutNode name="oneComp">
                <dgm:alg type="composite">
                  <dgm:param type="ar" val="1"/>
                </dgm:alg>
                <dgm:shape xmlns:r="http://schemas.openxmlformats.org/officeDocument/2006/relationships" r:blip="">
                  <dgm:adjLst/>
                </dgm:shape>
                <dgm:presOf/>
                <dgm:constrLst>
                  <dgm:constr type="h" refType="w"/>
                  <dgm:constr type="l" for="ch" forName="dummyConnPt" refType="w" fact="0.5"/>
                  <dgm:constr type="t" for="ch" forName="dummyConnPt" refType="w" fact="0.5"/>
                  <dgm:constr type="l" for="ch" forName="oneNode"/>
                  <dgm:constr type="t" for="ch" forName="oneNode"/>
                  <dgm:constr type="h" for="ch" forName="oneNode" refType="h"/>
                  <dgm:constr type="w" for="ch" forName="oneNode" refType="w"/>
                </dgm:constrLst>
                <dgm:ruleLst/>
                <dgm:layoutNode name="dummyConnPt" styleLbl="node1">
                  <dgm:alg type="sp"/>
                  <dgm:shape xmlns:r="http://schemas.openxmlformats.org/officeDocument/2006/relationships" r:blip="">
                    <dgm:adjLst/>
                  </dgm:shape>
                  <dgm:presOf/>
                  <dgm:constrLst>
                    <dgm:constr type="w" val="1"/>
                    <dgm:constr type="h" val="1"/>
                  </dgm:constrLst>
                  <dgm:ruleLst/>
                </dgm:layoutNode>
                <dgm:layoutNode name="on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layoutNode>
              <dgm:layoutNode name="dummya">
                <dgm:alg type="sp"/>
                <dgm:shape xmlns:r="http://schemas.openxmlformats.org/officeDocument/2006/relationships" r:blip="">
                  <dgm:adjLst/>
                </dgm:shape>
                <dgm:presOf/>
                <dgm:constrLst>
                  <dgm:constr type="h" refType="w"/>
                </dgm:constrLst>
                <dgm:ruleLst/>
              </dgm:layoutNode>
              <dgm:layoutNode name="dummyb">
                <dgm:alg type="sp"/>
                <dgm:shape xmlns:r="http://schemas.openxmlformats.org/officeDocument/2006/relationships" r:blip="">
                  <dgm:adjLst/>
                </dgm:shape>
                <dgm:presOf/>
                <dgm:constrLst>
                  <dgm:constr type="h" refType="w"/>
                </dgm:constrLst>
                <dgm:ruleLst/>
              </dgm:layoutNode>
              <dgm:layoutNode name="dummyc">
                <dgm:alg type="sp"/>
                <dgm:shape xmlns:r="http://schemas.openxmlformats.org/officeDocument/2006/relationships" r:blip="">
                  <dgm:adjLst/>
                </dgm:shape>
                <dgm:presOf/>
                <dgm:constrLst>
                  <dgm:constr type="h" refType="w"/>
                </dgm:constrLst>
                <dgm:ruleLst/>
              </dgm:layoutNode>
              <dgm:forEach name="sibTransForEach1" axis="followSib" ptType="sibTrans" hideLastTrans="0" cnt="1">
                <dgm:layoutNode name="singleconn" styleLbl="sibTrans2D1">
                  <dgm:alg type="conn">
                    <dgm:param type="connRout" val="longCurve"/>
                    <dgm:param type="begPts" val="bCtr"/>
                    <dgm:param type="endPts" val="tCtr"/>
                    <dgm:param type="begSty" val="noArr"/>
                    <dgm:param type="endSty" val="noArr"/>
                    <dgm:param type="srcNode" val="dummyConnPt"/>
                    <dgm:param type="dstNode" val="dummyConnPt"/>
                  </dgm:alg>
                  <dgm:shape xmlns:r="http://schemas.openxmlformats.org/officeDocument/2006/relationships" type="conn" r:blip="" zOrderOff="-999">
                    <dgm:adjLst/>
                  </dgm:shape>
                  <dgm:presOf axis="self"/>
                  <dgm:constrLst>
                    <dgm:constr type="begPad"/>
                    <dgm:constr type="endPad"/>
                  </dgm:constrLst>
                  <dgm:ruleLst/>
                </dgm:layoutNode>
              </dgm:forEach>
            </dgm:if>
            <dgm:else name="Name25"/>
          </dgm:choose>
        </dgm:forEach>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413656</xdr:colOff>
      <xdr:row>11</xdr:row>
      <xdr:rowOff>163830</xdr:rowOff>
    </xdr:from>
    <xdr:to>
      <xdr:col>28</xdr:col>
      <xdr:colOff>10884</xdr:colOff>
      <xdr:row>30</xdr:row>
      <xdr:rowOff>54429</xdr:rowOff>
    </xdr:to>
    <xdr:graphicFrame macro="">
      <xdr:nvGraphicFramePr>
        <xdr:cNvPr id="2" name="Chart 1">
          <a:extLst>
            <a:ext uri="{FF2B5EF4-FFF2-40B4-BE49-F238E27FC236}">
              <a16:creationId xmlns:a16="http://schemas.microsoft.com/office/drawing/2014/main" id="{43023C1E-C642-42E9-B9C2-D3F0C0A14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32658</xdr:colOff>
      <xdr:row>36</xdr:row>
      <xdr:rowOff>57147</xdr:rowOff>
    </xdr:from>
    <xdr:to>
      <xdr:col>28</xdr:col>
      <xdr:colOff>65315</xdr:colOff>
      <xdr:row>64</xdr:row>
      <xdr:rowOff>21772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FC5B0DC-D1FF-4833-B1E1-BCCC702C85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58208" y="7429497"/>
              <a:ext cx="22137007" cy="4587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391885</xdr:colOff>
      <xdr:row>68</xdr:row>
      <xdr:rowOff>76201</xdr:rowOff>
    </xdr:from>
    <xdr:to>
      <xdr:col>14</xdr:col>
      <xdr:colOff>783771</xdr:colOff>
      <xdr:row>79</xdr:row>
      <xdr:rowOff>108858</xdr:rowOff>
    </xdr:to>
    <xdr:graphicFrame macro="">
      <xdr:nvGraphicFramePr>
        <xdr:cNvPr id="6" name="Chart 5">
          <a:extLst>
            <a:ext uri="{FF2B5EF4-FFF2-40B4-BE49-F238E27FC236}">
              <a16:creationId xmlns:a16="http://schemas.microsoft.com/office/drawing/2014/main" id="{3A2E6CEA-97C4-4C3D-845D-242F45A5C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563880</xdr:colOff>
      <xdr:row>1</xdr:row>
      <xdr:rowOff>129540</xdr:rowOff>
    </xdr:from>
    <xdr:to>
      <xdr:col>16</xdr:col>
      <xdr:colOff>53340</xdr:colOff>
      <xdr:row>11</xdr:row>
      <xdr:rowOff>137160</xdr:rowOff>
    </xdr:to>
    <xdr:graphicFrame macro="">
      <xdr:nvGraphicFramePr>
        <xdr:cNvPr id="6" name="Chart 5">
          <a:extLst>
            <a:ext uri="{FF2B5EF4-FFF2-40B4-BE49-F238E27FC236}">
              <a16:creationId xmlns:a16="http://schemas.microsoft.com/office/drawing/2014/main" id="{69DD9FF3-EB75-4A2B-B2A6-DF15F8953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14</xdr:row>
      <xdr:rowOff>87630</xdr:rowOff>
    </xdr:from>
    <xdr:to>
      <xdr:col>16</xdr:col>
      <xdr:colOff>7620</xdr:colOff>
      <xdr:row>29</xdr:row>
      <xdr:rowOff>129540</xdr:rowOff>
    </xdr:to>
    <xdr:graphicFrame macro="">
      <xdr:nvGraphicFramePr>
        <xdr:cNvPr id="2" name="Chart 1">
          <a:extLst>
            <a:ext uri="{FF2B5EF4-FFF2-40B4-BE49-F238E27FC236}">
              <a16:creationId xmlns:a16="http://schemas.microsoft.com/office/drawing/2014/main" id="{F7F6C7A3-00F7-4998-B678-3EF6A4D5E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53340</xdr:colOff>
      <xdr:row>28</xdr:row>
      <xdr:rowOff>26670</xdr:rowOff>
    </xdr:from>
    <xdr:to>
      <xdr:col>12</xdr:col>
      <xdr:colOff>868680</xdr:colOff>
      <xdr:row>40</xdr:row>
      <xdr:rowOff>91440</xdr:rowOff>
    </xdr:to>
    <xdr:graphicFrame macro="">
      <xdr:nvGraphicFramePr>
        <xdr:cNvPr id="3" name="Diagram 2">
          <a:extLst>
            <a:ext uri="{FF2B5EF4-FFF2-40B4-BE49-F238E27FC236}">
              <a16:creationId xmlns:a16="http://schemas.microsoft.com/office/drawing/2014/main" id="{F6D84CF7-8F3A-4DC2-983D-D4C379C3CC7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335280</xdr:colOff>
      <xdr:row>4</xdr:row>
      <xdr:rowOff>30480</xdr:rowOff>
    </xdr:from>
    <xdr:to>
      <xdr:col>8</xdr:col>
      <xdr:colOff>220980</xdr:colOff>
      <xdr:row>5</xdr:row>
      <xdr:rowOff>411480</xdr:rowOff>
    </xdr:to>
    <xdr:sp macro="" textlink="">
      <xdr:nvSpPr>
        <xdr:cNvPr id="3" name="Arrow: Down 2">
          <a:extLst>
            <a:ext uri="{FF2B5EF4-FFF2-40B4-BE49-F238E27FC236}">
              <a16:creationId xmlns:a16="http://schemas.microsoft.com/office/drawing/2014/main" id="{778C6985-5654-4209-813F-EF93AC6E4307}"/>
            </a:ext>
          </a:extLst>
        </xdr:cNvPr>
        <xdr:cNvSpPr/>
      </xdr:nvSpPr>
      <xdr:spPr>
        <a:xfrm>
          <a:off x="6027420" y="952500"/>
          <a:ext cx="495300" cy="777240"/>
        </a:xfrm>
        <a:prstGeom prst="downArrow">
          <a:avLst/>
        </a:prstGeom>
        <a:solidFill>
          <a:schemeClr val="accent1">
            <a:alpha val="5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49530</xdr:colOff>
      <xdr:row>5</xdr:row>
      <xdr:rowOff>392430</xdr:rowOff>
    </xdr:from>
    <xdr:to>
      <xdr:col>12</xdr:col>
      <xdr:colOff>632460</xdr:colOff>
      <xdr:row>7</xdr:row>
      <xdr:rowOff>15240</xdr:rowOff>
    </xdr:to>
    <xdr:sp macro="" textlink="">
      <xdr:nvSpPr>
        <xdr:cNvPr id="4" name="Arrow: Down 3">
          <a:extLst>
            <a:ext uri="{FF2B5EF4-FFF2-40B4-BE49-F238E27FC236}">
              <a16:creationId xmlns:a16="http://schemas.microsoft.com/office/drawing/2014/main" id="{72CA2757-BD0C-4BFB-979D-EE5BEECC0E36}"/>
            </a:ext>
          </a:extLst>
        </xdr:cNvPr>
        <xdr:cNvSpPr/>
      </xdr:nvSpPr>
      <xdr:spPr>
        <a:xfrm rot="5400000">
          <a:off x="7951470" y="720090"/>
          <a:ext cx="430530" cy="2411730"/>
        </a:xfrm>
        <a:prstGeom prst="downArrow">
          <a:avLst/>
        </a:prstGeom>
        <a:solidFill>
          <a:schemeClr val="accent1">
            <a:alpha val="5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E04F-9DCF-46CF-AAB9-4DD8CC8DFCE3}">
  <sheetPr>
    <tabColor rgb="FF7030A0"/>
  </sheetPr>
  <dimension ref="B1:Y107"/>
  <sheetViews>
    <sheetView zoomScale="85" zoomScaleNormal="85" workbookViewId="0">
      <selection activeCell="E6" sqref="E6:G6"/>
    </sheetView>
  </sheetViews>
  <sheetFormatPr defaultColWidth="8.6328125" defaultRowHeight="14" x14ac:dyDescent="0.35"/>
  <cols>
    <col min="1" max="1" width="3" style="357" customWidth="1"/>
    <col min="2" max="2" width="25.08984375" style="357" customWidth="1"/>
    <col min="3" max="3" width="35.08984375" style="357" customWidth="1"/>
    <col min="4" max="4" width="47.453125" style="357" customWidth="1"/>
    <col min="5" max="5" width="12.1796875" style="357" bestFit="1" customWidth="1"/>
    <col min="6" max="6" width="16.08984375" style="523" customWidth="1"/>
    <col min="7" max="7" width="31" style="524" customWidth="1"/>
    <col min="8" max="8" width="12.36328125" style="357" customWidth="1"/>
    <col min="9" max="10" width="11" style="357" bestFit="1" customWidth="1"/>
    <col min="11" max="11" width="5.6328125" style="357" customWidth="1"/>
    <col min="12" max="12" width="3.6328125" style="357" customWidth="1"/>
    <col min="13" max="13" width="11.6328125" style="357" customWidth="1"/>
    <col min="14" max="14" width="5.54296875" style="357" customWidth="1"/>
    <col min="15" max="15" width="4.6328125" style="357" customWidth="1"/>
    <col min="16" max="16" width="4.54296875" style="357" customWidth="1"/>
    <col min="17" max="17" width="13.54296875" style="357" customWidth="1"/>
    <col min="18" max="18" width="4.36328125" style="357" customWidth="1"/>
    <col min="19" max="19" width="4.6328125" style="357" customWidth="1"/>
    <col min="20" max="20" width="7.6328125" style="357" customWidth="1"/>
    <col min="21" max="21" width="8.54296875" style="357" customWidth="1"/>
    <col min="22" max="22" width="8.90625" style="357" customWidth="1"/>
    <col min="23" max="23" width="3.36328125" style="357" customWidth="1"/>
    <col min="24" max="24" width="4.36328125" style="357" customWidth="1"/>
    <col min="25" max="25" width="8.08984375" style="357" customWidth="1"/>
    <col min="26" max="16384" width="8.6328125" style="357"/>
  </cols>
  <sheetData>
    <row r="1" spans="2:25" x14ac:dyDescent="0.35">
      <c r="B1" s="541"/>
      <c r="C1" s="861" t="s">
        <v>457</v>
      </c>
      <c r="D1" s="861"/>
      <c r="E1" s="863"/>
      <c r="F1" s="863"/>
      <c r="G1" s="863"/>
      <c r="H1" s="357">
        <v>13194250298.823532</v>
      </c>
      <c r="I1" s="357">
        <v>15585761099.272861</v>
      </c>
      <c r="J1" s="357">
        <v>16706908811.338135</v>
      </c>
      <c r="K1" s="358"/>
      <c r="L1" s="358"/>
      <c r="M1" s="358"/>
      <c r="N1" s="358"/>
      <c r="O1" s="358"/>
      <c r="P1" s="358"/>
      <c r="Q1" s="358"/>
      <c r="R1" s="359"/>
      <c r="S1" s="360" t="s">
        <v>426</v>
      </c>
      <c r="T1" s="361"/>
      <c r="U1" s="361"/>
      <c r="V1" s="361"/>
      <c r="W1" s="361"/>
      <c r="X1" s="361"/>
      <c r="Y1" s="362"/>
    </row>
    <row r="2" spans="2:25" x14ac:dyDescent="0.35">
      <c r="B2" s="542">
        <f ca="1">TODAY()</f>
        <v>45932</v>
      </c>
      <c r="C2" s="862"/>
      <c r="D2" s="862"/>
      <c r="E2" s="864"/>
      <c r="F2" s="864"/>
      <c r="G2" s="864"/>
      <c r="R2" s="363"/>
      <c r="S2" s="364" t="s">
        <v>427</v>
      </c>
      <c r="Y2" s="365"/>
    </row>
    <row r="3" spans="2:25" s="366" customFormat="1" x14ac:dyDescent="0.35">
      <c r="B3" s="543"/>
      <c r="C3" s="862"/>
      <c r="D3" s="862"/>
      <c r="E3" s="864"/>
      <c r="F3" s="864"/>
      <c r="G3" s="864"/>
      <c r="H3" s="367"/>
      <c r="I3" s="367"/>
      <c r="J3" s="367"/>
      <c r="K3" s="367"/>
      <c r="L3" s="367"/>
      <c r="M3" s="367"/>
      <c r="N3" s="367"/>
      <c r="O3" s="367"/>
      <c r="P3" s="367"/>
      <c r="Q3" s="367"/>
      <c r="R3" s="368"/>
      <c r="S3" s="364" t="s">
        <v>428</v>
      </c>
      <c r="Y3" s="369"/>
    </row>
    <row r="4" spans="2:25" s="366" customFormat="1" ht="15" customHeight="1" thickBot="1" x14ac:dyDescent="0.4">
      <c r="B4" s="370"/>
      <c r="F4" s="371">
        <v>345200</v>
      </c>
      <c r="G4" s="372"/>
      <c r="R4" s="820"/>
      <c r="S4" s="820"/>
      <c r="T4" s="820"/>
      <c r="U4" s="820"/>
      <c r="V4" s="820"/>
      <c r="Y4" s="369"/>
    </row>
    <row r="5" spans="2:25" s="366" customFormat="1" ht="28" x14ac:dyDescent="0.3">
      <c r="B5" s="373" t="s">
        <v>429</v>
      </c>
      <c r="C5" s="374" t="s">
        <v>430</v>
      </c>
      <c r="D5" s="375" t="s">
        <v>560</v>
      </c>
      <c r="E5" s="800">
        <v>37676000000</v>
      </c>
      <c r="F5" s="800"/>
      <c r="G5" s="376">
        <f>E5/F4</f>
        <v>109142.52607184241</v>
      </c>
      <c r="H5" s="865" t="s">
        <v>431</v>
      </c>
      <c r="I5" s="867" t="s">
        <v>561</v>
      </c>
      <c r="J5" s="868"/>
      <c r="K5" s="868"/>
      <c r="L5" s="868"/>
      <c r="M5" s="868"/>
      <c r="N5" s="868"/>
      <c r="O5" s="868"/>
      <c r="P5" s="868"/>
      <c r="Q5" s="869"/>
      <c r="R5" s="873" t="s">
        <v>562</v>
      </c>
      <c r="S5" s="874"/>
      <c r="T5" s="874"/>
      <c r="U5" s="875"/>
      <c r="V5" s="874" t="s">
        <v>563</v>
      </c>
      <c r="W5" s="874"/>
      <c r="X5" s="874"/>
      <c r="Y5" s="875"/>
    </row>
    <row r="6" spans="2:25" s="366" customFormat="1" ht="81" customHeight="1" thickBot="1" x14ac:dyDescent="0.4">
      <c r="B6" s="377" t="s">
        <v>432</v>
      </c>
      <c r="C6" s="841" t="s">
        <v>460</v>
      </c>
      <c r="D6" s="841"/>
      <c r="E6" s="856" t="s">
        <v>564</v>
      </c>
      <c r="F6" s="856"/>
      <c r="G6" s="856"/>
      <c r="H6" s="866"/>
      <c r="I6" s="870"/>
      <c r="J6" s="871"/>
      <c r="K6" s="871"/>
      <c r="L6" s="871"/>
      <c r="M6" s="871"/>
      <c r="N6" s="871"/>
      <c r="O6" s="871"/>
      <c r="P6" s="871"/>
      <c r="Q6" s="872"/>
      <c r="R6" s="876"/>
      <c r="S6" s="877"/>
      <c r="T6" s="877"/>
      <c r="U6" s="878"/>
      <c r="V6" s="877"/>
      <c r="W6" s="877"/>
      <c r="X6" s="877"/>
      <c r="Y6" s="878"/>
    </row>
    <row r="7" spans="2:25" s="366" customFormat="1" x14ac:dyDescent="0.35">
      <c r="B7" s="819" t="s">
        <v>433</v>
      </c>
      <c r="C7" s="841" t="s">
        <v>461</v>
      </c>
      <c r="D7" s="841"/>
      <c r="E7" s="820"/>
      <c r="F7" s="857"/>
      <c r="H7" s="378" t="s">
        <v>434</v>
      </c>
      <c r="I7" s="858" t="s">
        <v>453</v>
      </c>
      <c r="J7" s="859"/>
      <c r="K7" s="859"/>
      <c r="L7" s="859"/>
      <c r="M7" s="860"/>
      <c r="N7" s="858" t="s">
        <v>454</v>
      </c>
      <c r="O7" s="859"/>
      <c r="P7" s="859"/>
      <c r="Q7" s="860"/>
      <c r="R7" s="853" t="s">
        <v>455</v>
      </c>
      <c r="S7" s="854"/>
      <c r="T7" s="854"/>
      <c r="U7" s="855"/>
      <c r="V7" s="854" t="s">
        <v>456</v>
      </c>
      <c r="W7" s="854"/>
      <c r="X7" s="854"/>
      <c r="Y7" s="855"/>
    </row>
    <row r="8" spans="2:25" s="380" customFormat="1" ht="28.5" thickBot="1" x14ac:dyDescent="0.4">
      <c r="B8" s="819"/>
      <c r="C8" s="841" t="s">
        <v>462</v>
      </c>
      <c r="D8" s="841"/>
      <c r="E8" s="820"/>
      <c r="F8" s="857"/>
      <c r="G8" s="381">
        <v>96632199700</v>
      </c>
      <c r="H8" s="382" t="s">
        <v>435</v>
      </c>
      <c r="I8" s="383">
        <v>1</v>
      </c>
      <c r="J8" s="384">
        <v>8</v>
      </c>
      <c r="K8" s="384">
        <v>15</v>
      </c>
      <c r="L8" s="384">
        <v>22</v>
      </c>
      <c r="M8" s="385">
        <v>29</v>
      </c>
      <c r="N8" s="383">
        <v>5</v>
      </c>
      <c r="O8" s="384">
        <v>12</v>
      </c>
      <c r="P8" s="384">
        <v>19</v>
      </c>
      <c r="Q8" s="385">
        <v>26</v>
      </c>
      <c r="R8" s="386">
        <v>5</v>
      </c>
      <c r="S8" s="387">
        <v>12</v>
      </c>
      <c r="T8" s="387">
        <v>19</v>
      </c>
      <c r="U8" s="388">
        <v>26</v>
      </c>
      <c r="V8" s="387">
        <v>2</v>
      </c>
      <c r="W8" s="387">
        <v>9</v>
      </c>
      <c r="X8" s="387">
        <v>16</v>
      </c>
      <c r="Y8" s="388">
        <v>23</v>
      </c>
    </row>
    <row r="9" spans="2:25" s="389" customFormat="1" ht="25.5" customHeight="1" thickBot="1" x14ac:dyDescent="0.4">
      <c r="B9" s="842" t="s">
        <v>436</v>
      </c>
      <c r="C9" s="818" t="s">
        <v>437</v>
      </c>
      <c r="D9" s="818" t="s">
        <v>438</v>
      </c>
      <c r="E9" s="818" t="s">
        <v>439</v>
      </c>
      <c r="F9" s="845" t="s">
        <v>440</v>
      </c>
      <c r="G9" s="808" t="s">
        <v>13</v>
      </c>
      <c r="H9" s="391" t="s">
        <v>441</v>
      </c>
      <c r="I9" s="392">
        <v>1</v>
      </c>
      <c r="J9" s="393">
        <v>2</v>
      </c>
      <c r="K9" s="393">
        <v>3</v>
      </c>
      <c r="L9" s="393">
        <v>4</v>
      </c>
      <c r="M9" s="394">
        <v>5</v>
      </c>
      <c r="N9" s="392">
        <v>6</v>
      </c>
      <c r="O9" s="393">
        <v>7</v>
      </c>
      <c r="P9" s="393">
        <v>8</v>
      </c>
      <c r="Q9" s="394">
        <v>9</v>
      </c>
      <c r="R9" s="395">
        <v>10</v>
      </c>
      <c r="S9" s="396">
        <v>11</v>
      </c>
      <c r="T9" s="396">
        <v>12</v>
      </c>
      <c r="U9" s="397">
        <v>13</v>
      </c>
      <c r="V9" s="396">
        <v>14</v>
      </c>
      <c r="W9" s="396">
        <v>15</v>
      </c>
      <c r="X9" s="396">
        <v>16</v>
      </c>
      <c r="Y9" s="397">
        <v>17</v>
      </c>
    </row>
    <row r="10" spans="2:25" s="366" customFormat="1" ht="36.75" customHeight="1" thickBot="1" x14ac:dyDescent="0.4">
      <c r="B10" s="843"/>
      <c r="C10" s="844"/>
      <c r="D10" s="844"/>
      <c r="E10" s="844"/>
      <c r="F10" s="846"/>
      <c r="G10" s="809"/>
      <c r="H10" s="399" t="s">
        <v>528</v>
      </c>
      <c r="I10" s="847">
        <f>I12*7.5%</f>
        <v>1451594400</v>
      </c>
      <c r="J10" s="848"/>
      <c r="K10" s="848"/>
      <c r="L10" s="848"/>
      <c r="M10" s="849"/>
      <c r="N10" s="847">
        <f>N12*7.5%</f>
        <v>1524174120</v>
      </c>
      <c r="O10" s="848"/>
      <c r="P10" s="848"/>
      <c r="Q10" s="849"/>
      <c r="R10" s="850">
        <f>R12*7.5%</f>
        <v>1676591532</v>
      </c>
      <c r="S10" s="851"/>
      <c r="T10" s="851"/>
      <c r="U10" s="852"/>
      <c r="V10" s="850">
        <f>V12*7.5%</f>
        <v>2605611948</v>
      </c>
      <c r="W10" s="851"/>
      <c r="X10" s="851"/>
      <c r="Y10" s="852"/>
    </row>
    <row r="11" spans="2:25" s="366" customFormat="1" ht="24.75" customHeight="1" x14ac:dyDescent="0.35">
      <c r="B11" s="400" t="s">
        <v>558</v>
      </c>
      <c r="C11" s="389"/>
      <c r="D11" s="389"/>
      <c r="E11" s="389"/>
      <c r="F11" s="401"/>
      <c r="G11" s="402">
        <v>105188000000</v>
      </c>
      <c r="H11" s="400"/>
      <c r="I11" s="805">
        <f>G11*20%</f>
        <v>21037600000</v>
      </c>
      <c r="J11" s="806"/>
      <c r="K11" s="806"/>
      <c r="L11" s="806"/>
      <c r="M11" s="807"/>
      <c r="N11" s="838">
        <f>I11*5%+I11</f>
        <v>22089480000</v>
      </c>
      <c r="O11" s="839"/>
      <c r="P11" s="839"/>
      <c r="Q11" s="840"/>
      <c r="R11" s="805">
        <f>N11+N11*10%</f>
        <v>24298428000</v>
      </c>
      <c r="S11" s="806"/>
      <c r="T11" s="806"/>
      <c r="U11" s="807"/>
      <c r="V11" s="806">
        <f>G11-SUM(I11:U11)</f>
        <v>37762492000</v>
      </c>
      <c r="W11" s="806"/>
      <c r="X11" s="806"/>
      <c r="Y11" s="807"/>
    </row>
    <row r="12" spans="2:25" s="366" customFormat="1" ht="24.75" customHeight="1" x14ac:dyDescent="0.35">
      <c r="B12" s="400" t="s">
        <v>458</v>
      </c>
      <c r="C12" s="389"/>
      <c r="D12" s="389"/>
      <c r="E12" s="389"/>
      <c r="F12" s="401"/>
      <c r="G12" s="403">
        <v>96632199700</v>
      </c>
      <c r="H12" s="400"/>
      <c r="I12" s="805">
        <f>I11-8%*I11</f>
        <v>19354592000</v>
      </c>
      <c r="J12" s="806"/>
      <c r="K12" s="806"/>
      <c r="L12" s="806"/>
      <c r="M12" s="807"/>
      <c r="N12" s="805">
        <f>N11-8%*N11</f>
        <v>20322321600</v>
      </c>
      <c r="O12" s="806"/>
      <c r="P12" s="806"/>
      <c r="Q12" s="807"/>
      <c r="R12" s="805">
        <f>R11-8%*R11</f>
        <v>22354553760</v>
      </c>
      <c r="S12" s="806"/>
      <c r="T12" s="806"/>
      <c r="U12" s="807"/>
      <c r="V12" s="806">
        <f>V11-8%*V11</f>
        <v>34741492640</v>
      </c>
      <c r="W12" s="806"/>
      <c r="X12" s="806"/>
      <c r="Y12" s="807"/>
    </row>
    <row r="13" spans="2:25" s="366" customFormat="1" ht="30" customHeight="1" thickBot="1" x14ac:dyDescent="0.4">
      <c r="B13" s="404" t="s">
        <v>459</v>
      </c>
      <c r="C13" s="366" t="s">
        <v>442</v>
      </c>
      <c r="E13" s="405"/>
      <c r="F13" s="406">
        <v>6.9000000000000006E-2</v>
      </c>
      <c r="G13" s="407">
        <f>G12*F13</f>
        <v>6667621779.3000002</v>
      </c>
      <c r="H13" s="408"/>
      <c r="I13" s="802"/>
      <c r="J13" s="803"/>
      <c r="K13" s="803"/>
      <c r="L13" s="803"/>
      <c r="M13" s="804"/>
      <c r="N13" s="802"/>
      <c r="O13" s="803"/>
      <c r="P13" s="803"/>
      <c r="Q13" s="804"/>
      <c r="R13" s="805"/>
      <c r="S13" s="806"/>
      <c r="T13" s="806"/>
      <c r="U13" s="807"/>
      <c r="V13" s="806"/>
      <c r="W13" s="806"/>
      <c r="X13" s="806"/>
      <c r="Y13" s="807"/>
    </row>
    <row r="14" spans="2:25" s="366" customFormat="1" ht="30" customHeight="1" thickBot="1" x14ac:dyDescent="0.4">
      <c r="B14" s="409" t="s">
        <v>443</v>
      </c>
      <c r="C14" s="410"/>
      <c r="D14" s="410"/>
      <c r="E14" s="411"/>
      <c r="F14" s="412"/>
      <c r="G14" s="413"/>
      <c r="H14" s="414"/>
      <c r="I14" s="801" t="s">
        <v>463</v>
      </c>
      <c r="J14" s="801"/>
      <c r="K14" s="801"/>
      <c r="L14" s="801"/>
      <c r="M14" s="801"/>
      <c r="N14" s="801"/>
      <c r="O14" s="801"/>
      <c r="P14" s="801"/>
      <c r="Q14" s="801"/>
      <c r="R14" s="795"/>
      <c r="S14" s="796"/>
      <c r="T14" s="792" t="s">
        <v>464</v>
      </c>
      <c r="U14" s="793"/>
      <c r="V14" s="793"/>
      <c r="W14" s="793"/>
      <c r="X14" s="793"/>
      <c r="Y14" s="794"/>
    </row>
    <row r="15" spans="2:25" s="366" customFormat="1" ht="30" customHeight="1" thickBot="1" x14ac:dyDescent="0.4">
      <c r="B15" s="415" t="s">
        <v>444</v>
      </c>
      <c r="C15" s="416"/>
      <c r="D15" s="416"/>
      <c r="E15" s="417"/>
      <c r="F15" s="418"/>
      <c r="G15" s="419">
        <f>SUM(G16:G19)</f>
        <v>2375000000</v>
      </c>
      <c r="H15" s="420"/>
      <c r="I15" s="421"/>
      <c r="J15" s="421"/>
      <c r="K15" s="421"/>
      <c r="L15" s="421"/>
      <c r="M15" s="421"/>
      <c r="N15" s="421"/>
      <c r="O15" s="421"/>
      <c r="P15" s="421"/>
      <c r="Q15" s="421"/>
      <c r="R15" s="815"/>
      <c r="S15" s="815"/>
      <c r="T15" s="815"/>
      <c r="U15" s="815"/>
      <c r="V15" s="815"/>
      <c r="W15" s="815"/>
      <c r="X15" s="815"/>
      <c r="Y15" s="816"/>
    </row>
    <row r="16" spans="2:25" s="422" customFormat="1" ht="78.75" customHeight="1" thickTop="1" x14ac:dyDescent="0.35">
      <c r="B16" s="423" t="s">
        <v>466</v>
      </c>
      <c r="C16" s="424" t="s">
        <v>468</v>
      </c>
      <c r="D16" s="425" t="s">
        <v>465</v>
      </c>
      <c r="E16" s="424"/>
      <c r="F16" s="426" t="s">
        <v>467</v>
      </c>
      <c r="G16" s="427">
        <v>800000000</v>
      </c>
      <c r="H16" s="428"/>
      <c r="I16" s="429"/>
      <c r="J16" s="430"/>
      <c r="K16" s="12"/>
      <c r="L16" s="12"/>
      <c r="M16" s="431"/>
      <c r="N16" s="432"/>
      <c r="O16" s="12"/>
      <c r="P16" s="12"/>
      <c r="Q16" s="431"/>
      <c r="R16" s="433"/>
      <c r="S16" s="434"/>
      <c r="T16" s="434"/>
      <c r="U16" s="435"/>
      <c r="V16" s="436"/>
      <c r="W16" s="436"/>
      <c r="X16" s="436"/>
      <c r="Y16" s="437"/>
    </row>
    <row r="17" spans="2:25" s="422" customFormat="1" ht="62.25" customHeight="1" x14ac:dyDescent="0.35">
      <c r="B17" s="438" t="s">
        <v>471</v>
      </c>
      <c r="C17" s="439" t="s">
        <v>472</v>
      </c>
      <c r="D17" s="440" t="s">
        <v>473</v>
      </c>
      <c r="E17" s="439"/>
      <c r="F17" s="441" t="s">
        <v>474</v>
      </c>
      <c r="G17" s="442">
        <v>1000000000</v>
      </c>
      <c r="H17" s="443"/>
      <c r="I17" s="444"/>
      <c r="J17" s="13"/>
      <c r="K17" s="13"/>
      <c r="M17" s="445"/>
      <c r="N17" s="446"/>
      <c r="O17" s="447"/>
      <c r="P17" s="447"/>
      <c r="Q17" s="445"/>
      <c r="R17" s="448"/>
      <c r="S17" s="449"/>
      <c r="T17" s="449"/>
      <c r="U17" s="450"/>
      <c r="V17" s="449"/>
      <c r="W17" s="449"/>
      <c r="X17" s="449"/>
      <c r="Y17" s="451"/>
    </row>
    <row r="18" spans="2:25" s="366" customFormat="1" ht="69.75" customHeight="1" x14ac:dyDescent="0.35">
      <c r="B18" s="452" t="s">
        <v>445</v>
      </c>
      <c r="C18" s="453" t="s">
        <v>446</v>
      </c>
      <c r="D18" s="454" t="s">
        <v>565</v>
      </c>
      <c r="E18" s="455"/>
      <c r="F18" s="456" t="s">
        <v>447</v>
      </c>
      <c r="G18" s="457">
        <v>375000000</v>
      </c>
      <c r="H18" s="458"/>
      <c r="I18" s="459"/>
      <c r="J18" s="447"/>
      <c r="K18" s="447"/>
      <c r="L18" s="447"/>
      <c r="M18" s="445"/>
      <c r="N18" s="446"/>
      <c r="O18" s="447"/>
      <c r="P18" s="447"/>
      <c r="Q18" s="445"/>
      <c r="R18" s="446"/>
      <c r="S18" s="447"/>
      <c r="T18" s="447"/>
      <c r="U18" s="445"/>
      <c r="V18" s="447"/>
      <c r="W18" s="447"/>
      <c r="X18" s="447"/>
      <c r="Y18" s="460"/>
    </row>
    <row r="19" spans="2:25" s="366" customFormat="1" ht="30" customHeight="1" thickBot="1" x14ac:dyDescent="0.4">
      <c r="B19" s="461" t="s">
        <v>448</v>
      </c>
      <c r="C19" s="462" t="s">
        <v>449</v>
      </c>
      <c r="D19" s="463" t="s">
        <v>450</v>
      </c>
      <c r="E19" s="462"/>
      <c r="F19" s="464" t="s">
        <v>451</v>
      </c>
      <c r="G19" s="465">
        <v>200000000</v>
      </c>
      <c r="H19" s="466"/>
      <c r="I19" s="467"/>
      <c r="J19" s="468"/>
      <c r="K19" s="468"/>
      <c r="L19" s="468"/>
      <c r="M19" s="469"/>
      <c r="N19" s="470"/>
      <c r="O19" s="471"/>
      <c r="P19" s="471"/>
      <c r="Q19" s="472"/>
      <c r="R19" s="473"/>
      <c r="S19" s="474"/>
      <c r="T19" s="474"/>
      <c r="U19" s="475"/>
      <c r="V19" s="476"/>
      <c r="W19" s="476"/>
      <c r="X19" s="476"/>
      <c r="Y19" s="477"/>
    </row>
    <row r="20" spans="2:25" s="366" customFormat="1" ht="30" customHeight="1" thickBot="1" x14ac:dyDescent="0.4">
      <c r="B20" s="415" t="s">
        <v>470</v>
      </c>
      <c r="C20" s="416"/>
      <c r="D20" s="416"/>
      <c r="E20" s="417"/>
      <c r="F20" s="418"/>
      <c r="G20" s="419">
        <f>SUM(G21:G28)</f>
        <v>3588296808.3727894</v>
      </c>
      <c r="H20" s="478"/>
      <c r="I20" s="479"/>
      <c r="J20" s="480"/>
      <c r="K20" s="480"/>
      <c r="L20" s="480"/>
      <c r="M20" s="481"/>
      <c r="N20" s="479"/>
      <c r="O20" s="480"/>
      <c r="P20" s="480"/>
      <c r="Q20" s="481"/>
      <c r="R20" s="482"/>
      <c r="S20" s="483"/>
      <c r="T20" s="483"/>
      <c r="U20" s="484"/>
      <c r="V20" s="485"/>
      <c r="W20" s="485"/>
      <c r="X20" s="485"/>
      <c r="Y20" s="486"/>
    </row>
    <row r="21" spans="2:25" s="366" customFormat="1" x14ac:dyDescent="0.35">
      <c r="B21" s="798" t="s">
        <v>475</v>
      </c>
      <c r="C21" s="525" t="s">
        <v>476</v>
      </c>
      <c r="D21" s="525" t="s">
        <v>478</v>
      </c>
      <c r="E21" s="526">
        <v>15000</v>
      </c>
      <c r="F21" s="526"/>
      <c r="G21" s="527">
        <v>350000000</v>
      </c>
      <c r="H21" s="487"/>
      <c r="I21" s="488"/>
      <c r="J21" s="405"/>
      <c r="K21" s="405"/>
      <c r="L21" s="405"/>
      <c r="M21" s="489"/>
      <c r="N21" s="488"/>
      <c r="O21" s="405"/>
      <c r="P21" s="405"/>
      <c r="Q21" s="489"/>
      <c r="R21" s="488"/>
      <c r="S21" s="405"/>
      <c r="T21" s="405"/>
      <c r="U21" s="489"/>
      <c r="V21" s="405"/>
      <c r="W21" s="405"/>
      <c r="X21" s="405"/>
      <c r="Y21" s="489"/>
    </row>
    <row r="22" spans="2:25" s="366" customFormat="1" ht="41.25" customHeight="1" x14ac:dyDescent="0.35">
      <c r="B22" s="799"/>
      <c r="C22" s="456" t="s">
        <v>477</v>
      </c>
      <c r="D22" s="456" t="s">
        <v>479</v>
      </c>
      <c r="E22" s="528">
        <v>15000</v>
      </c>
      <c r="F22" s="528"/>
      <c r="G22" s="529">
        <v>350000000</v>
      </c>
      <c r="H22" s="487"/>
      <c r="I22" s="488"/>
      <c r="J22" s="405"/>
      <c r="K22" s="405"/>
      <c r="L22" s="405"/>
      <c r="M22" s="489"/>
      <c r="N22" s="488"/>
      <c r="O22" s="405"/>
      <c r="P22" s="405"/>
      <c r="Q22" s="489"/>
      <c r="R22" s="488"/>
      <c r="S22" s="405"/>
      <c r="T22" s="405"/>
      <c r="U22" s="489"/>
      <c r="V22" s="405"/>
      <c r="W22" s="405"/>
      <c r="X22" s="405"/>
      <c r="Y22" s="489"/>
    </row>
    <row r="23" spans="2:25" s="366" customFormat="1" ht="44.25" customHeight="1" x14ac:dyDescent="0.35">
      <c r="B23" s="797" t="s">
        <v>480</v>
      </c>
      <c r="C23" s="440" t="s">
        <v>481</v>
      </c>
      <c r="D23" s="440">
        <v>6000</v>
      </c>
      <c r="E23" s="530">
        <v>41229.835460992908</v>
      </c>
      <c r="F23" s="528"/>
      <c r="G23" s="529">
        <f>E23*D23</f>
        <v>247379012.76595744</v>
      </c>
      <c r="H23" s="490"/>
      <c r="I23" s="491"/>
      <c r="J23" s="492"/>
      <c r="K23" s="492"/>
      <c r="L23" s="492"/>
      <c r="M23" s="493"/>
      <c r="N23" s="491"/>
      <c r="O23" s="492"/>
      <c r="P23" s="492"/>
      <c r="Q23" s="493"/>
      <c r="R23" s="491"/>
      <c r="S23" s="492"/>
      <c r="T23" s="492"/>
      <c r="U23" s="493"/>
      <c r="V23" s="492"/>
      <c r="W23" s="492"/>
      <c r="X23" s="492"/>
      <c r="Y23" s="493"/>
    </row>
    <row r="24" spans="2:25" s="366" customFormat="1" ht="33" customHeight="1" x14ac:dyDescent="0.35">
      <c r="B24" s="797"/>
      <c r="C24" s="440" t="s">
        <v>482</v>
      </c>
      <c r="D24" s="440">
        <v>6000</v>
      </c>
      <c r="E24" s="531">
        <v>67068.369565217392</v>
      </c>
      <c r="F24" s="528"/>
      <c r="G24" s="529">
        <f>E24*D24</f>
        <v>402410217.39130437</v>
      </c>
      <c r="H24" s="490"/>
      <c r="I24" s="491"/>
      <c r="J24" s="492"/>
      <c r="K24" s="492"/>
      <c r="L24" s="492"/>
      <c r="M24" s="493"/>
      <c r="N24" s="491"/>
      <c r="O24" s="492"/>
      <c r="P24" s="492"/>
      <c r="Q24" s="493"/>
      <c r="R24" s="491"/>
      <c r="S24" s="492"/>
      <c r="T24" s="492"/>
      <c r="U24" s="493"/>
      <c r="V24" s="492"/>
      <c r="W24" s="492"/>
      <c r="X24" s="492"/>
      <c r="Y24" s="493"/>
    </row>
    <row r="25" spans="2:25" s="366" customFormat="1" ht="27" customHeight="1" x14ac:dyDescent="0.35">
      <c r="B25" s="797"/>
      <c r="C25" s="440" t="s">
        <v>486</v>
      </c>
      <c r="D25" s="440">
        <v>3000</v>
      </c>
      <c r="E25" s="531">
        <v>109142.52607184241</v>
      </c>
      <c r="F25" s="528"/>
      <c r="G25" s="529">
        <f>E25*D25</f>
        <v>327427578.21552724</v>
      </c>
      <c r="H25" s="490"/>
      <c r="I25" s="491"/>
      <c r="J25" s="492"/>
      <c r="K25" s="492"/>
      <c r="L25" s="492"/>
      <c r="M25" s="493"/>
      <c r="N25" s="491"/>
      <c r="O25" s="492"/>
      <c r="P25" s="492"/>
      <c r="Q25" s="493"/>
      <c r="R25" s="491"/>
      <c r="S25" s="492"/>
      <c r="T25" s="492"/>
      <c r="U25" s="493"/>
      <c r="V25" s="492"/>
      <c r="W25" s="492"/>
      <c r="X25" s="492"/>
      <c r="Y25" s="493"/>
    </row>
    <row r="26" spans="2:25" s="422" customFormat="1" x14ac:dyDescent="0.35">
      <c r="B26" s="797"/>
      <c r="C26" s="440" t="s">
        <v>485</v>
      </c>
      <c r="D26" s="440">
        <v>6000</v>
      </c>
      <c r="E26" s="532">
        <v>46800</v>
      </c>
      <c r="F26" s="533"/>
      <c r="G26" s="529">
        <f>E26*D26</f>
        <v>280800000</v>
      </c>
      <c r="H26" s="443"/>
      <c r="I26" s="494"/>
      <c r="J26" s="495"/>
      <c r="K26" s="495"/>
      <c r="L26" s="495"/>
      <c r="M26" s="496"/>
      <c r="N26" s="494"/>
      <c r="O26" s="495"/>
      <c r="P26" s="495"/>
      <c r="Q26" s="496"/>
      <c r="R26" s="812"/>
      <c r="S26" s="813"/>
      <c r="T26" s="813"/>
      <c r="U26" s="814"/>
      <c r="V26" s="497"/>
      <c r="W26" s="497"/>
      <c r="X26" s="497"/>
      <c r="Y26" s="498"/>
    </row>
    <row r="27" spans="2:25" s="422" customFormat="1" ht="23.25" customHeight="1" x14ac:dyDescent="0.35">
      <c r="B27" s="534" t="s">
        <v>76</v>
      </c>
      <c r="C27" s="440" t="s">
        <v>488</v>
      </c>
      <c r="D27" s="440">
        <v>100</v>
      </c>
      <c r="E27" s="532">
        <v>5000000</v>
      </c>
      <c r="F27" s="533"/>
      <c r="G27" s="529">
        <f>E27*D27</f>
        <v>500000000</v>
      </c>
      <c r="H27" s="443"/>
      <c r="I27" s="494"/>
      <c r="J27" s="495"/>
      <c r="K27" s="495"/>
      <c r="L27" s="495"/>
      <c r="M27" s="496"/>
      <c r="N27" s="494"/>
      <c r="O27" s="495"/>
      <c r="P27" s="495"/>
      <c r="Q27" s="496"/>
      <c r="R27" s="499"/>
      <c r="S27" s="500"/>
      <c r="T27" s="500"/>
      <c r="U27" s="501"/>
      <c r="V27" s="497"/>
      <c r="W27" s="497"/>
      <c r="X27" s="497"/>
      <c r="Y27" s="498"/>
    </row>
    <row r="28" spans="2:25" s="422" customFormat="1" ht="14.5" thickBot="1" x14ac:dyDescent="0.4">
      <c r="B28" s="535" t="s">
        <v>484</v>
      </c>
      <c r="C28" s="536" t="s">
        <v>483</v>
      </c>
      <c r="D28" s="537">
        <v>0.03</v>
      </c>
      <c r="E28" s="538">
        <v>0.03</v>
      </c>
      <c r="F28" s="539"/>
      <c r="G28" s="540">
        <f>E28*'KSF MKT'!E7</f>
        <v>1130280000</v>
      </c>
      <c r="H28" s="443"/>
      <c r="I28" s="444"/>
      <c r="J28" s="13"/>
      <c r="K28" s="13"/>
      <c r="L28" s="13"/>
      <c r="M28" s="502"/>
      <c r="N28" s="444"/>
      <c r="O28" s="13"/>
      <c r="P28" s="13"/>
      <c r="Q28" s="502"/>
      <c r="R28" s="503"/>
      <c r="S28" s="504"/>
      <c r="T28" s="504"/>
      <c r="U28" s="505"/>
      <c r="V28" s="506"/>
      <c r="W28" s="506"/>
      <c r="X28" s="506"/>
      <c r="Y28" s="507"/>
    </row>
    <row r="29" spans="2:25" s="422" customFormat="1" ht="14.5" thickBot="1" x14ac:dyDescent="0.4">
      <c r="B29" s="508" t="s">
        <v>487</v>
      </c>
      <c r="C29" s="509"/>
      <c r="D29" s="509"/>
      <c r="E29" s="510"/>
      <c r="F29" s="511"/>
      <c r="G29" s="512">
        <f>SUM(G30:G35)</f>
        <v>1073000000</v>
      </c>
      <c r="H29" s="513"/>
      <c r="I29" s="514"/>
      <c r="J29" s="509"/>
      <c r="K29" s="509"/>
      <c r="L29" s="509"/>
      <c r="M29" s="515"/>
      <c r="N29" s="514"/>
      <c r="O29" s="509"/>
      <c r="P29" s="509"/>
      <c r="Q29" s="515"/>
      <c r="R29" s="516"/>
      <c r="S29" s="517"/>
      <c r="T29" s="517"/>
      <c r="U29" s="518"/>
      <c r="V29" s="519"/>
      <c r="W29" s="519"/>
      <c r="X29" s="519"/>
      <c r="Y29" s="520"/>
    </row>
    <row r="30" spans="2:25" s="366" customFormat="1" ht="42" x14ac:dyDescent="0.35">
      <c r="B30" s="733" t="s">
        <v>628</v>
      </c>
      <c r="C30" s="378"/>
      <c r="D30" s="379"/>
      <c r="E30" s="378"/>
      <c r="F30" s="739"/>
      <c r="G30" s="743">
        <v>411000000</v>
      </c>
      <c r="H30" s="390"/>
      <c r="I30" s="817"/>
      <c r="J30" s="818"/>
      <c r="K30" s="818"/>
      <c r="L30" s="818"/>
      <c r="M30" s="818"/>
      <c r="N30" s="821"/>
      <c r="O30" s="822"/>
      <c r="P30" s="822"/>
      <c r="Q30" s="823"/>
      <c r="R30" s="829"/>
      <c r="S30" s="830"/>
      <c r="T30" s="830"/>
      <c r="U30" s="831"/>
      <c r="V30" s="830"/>
      <c r="W30" s="830"/>
      <c r="X30" s="830"/>
      <c r="Y30" s="831"/>
    </row>
    <row r="31" spans="2:25" s="366" customFormat="1" ht="14.4" customHeight="1" x14ac:dyDescent="0.35">
      <c r="B31" s="734" t="s">
        <v>621</v>
      </c>
      <c r="C31" s="737"/>
      <c r="D31" s="370"/>
      <c r="E31" s="737"/>
      <c r="F31" s="740"/>
      <c r="G31" s="744">
        <f>32000000*4</f>
        <v>128000000</v>
      </c>
      <c r="H31" s="400"/>
      <c r="I31" s="819"/>
      <c r="J31" s="820"/>
      <c r="K31" s="820"/>
      <c r="L31" s="820"/>
      <c r="M31" s="820"/>
      <c r="N31" s="824"/>
      <c r="O31" s="825"/>
      <c r="P31" s="825"/>
      <c r="Q31" s="826"/>
      <c r="R31" s="832"/>
      <c r="S31" s="833"/>
      <c r="T31" s="833"/>
      <c r="U31" s="834"/>
      <c r="V31" s="833"/>
      <c r="W31" s="833"/>
      <c r="X31" s="833"/>
      <c r="Y31" s="834"/>
    </row>
    <row r="32" spans="2:25" s="366" customFormat="1" ht="42" x14ac:dyDescent="0.35">
      <c r="B32" s="734" t="s">
        <v>622</v>
      </c>
      <c r="C32" s="737" t="s">
        <v>623</v>
      </c>
      <c r="D32" s="370"/>
      <c r="E32" s="737"/>
      <c r="F32" s="740"/>
      <c r="G32" s="744">
        <v>70000000</v>
      </c>
      <c r="H32" s="400"/>
      <c r="I32" s="819"/>
      <c r="J32" s="820"/>
      <c r="K32" s="820"/>
      <c r="L32" s="820"/>
      <c r="M32" s="820"/>
      <c r="N32" s="824"/>
      <c r="O32" s="825"/>
      <c r="P32" s="825"/>
      <c r="Q32" s="826"/>
      <c r="R32" s="832"/>
      <c r="S32" s="833"/>
      <c r="T32" s="833"/>
      <c r="U32" s="834"/>
      <c r="V32" s="833"/>
      <c r="W32" s="833"/>
      <c r="X32" s="833"/>
      <c r="Y32" s="834"/>
    </row>
    <row r="33" spans="2:25" s="366" customFormat="1" ht="42" x14ac:dyDescent="0.35">
      <c r="B33" s="734" t="s">
        <v>624</v>
      </c>
      <c r="C33" s="737"/>
      <c r="D33" s="370"/>
      <c r="E33" s="737"/>
      <c r="F33" s="740"/>
      <c r="G33" s="744">
        <f>200000*100*2</f>
        <v>40000000</v>
      </c>
      <c r="H33" s="400"/>
      <c r="I33" s="819"/>
      <c r="J33" s="820"/>
      <c r="K33" s="820"/>
      <c r="L33" s="820"/>
      <c r="M33" s="820"/>
      <c r="N33" s="824"/>
      <c r="O33" s="825"/>
      <c r="P33" s="825"/>
      <c r="Q33" s="826"/>
      <c r="R33" s="832"/>
      <c r="S33" s="833"/>
      <c r="T33" s="833"/>
      <c r="U33" s="834"/>
      <c r="V33" s="833"/>
      <c r="W33" s="833"/>
      <c r="X33" s="833"/>
      <c r="Y33" s="834"/>
    </row>
    <row r="34" spans="2:25" ht="14.4" customHeight="1" x14ac:dyDescent="0.35">
      <c r="B34" s="735" t="s">
        <v>625</v>
      </c>
      <c r="C34" s="735"/>
      <c r="D34" s="726"/>
      <c r="E34" s="735"/>
      <c r="F34" s="741"/>
      <c r="G34" s="745">
        <v>24000000</v>
      </c>
      <c r="H34" s="400"/>
      <c r="I34" s="819"/>
      <c r="J34" s="820"/>
      <c r="K34" s="820"/>
      <c r="L34" s="820"/>
      <c r="M34" s="820"/>
      <c r="N34" s="824"/>
      <c r="O34" s="825"/>
      <c r="P34" s="825"/>
      <c r="Q34" s="826"/>
      <c r="R34" s="832"/>
      <c r="S34" s="833"/>
      <c r="T34" s="833"/>
      <c r="U34" s="834"/>
      <c r="V34" s="833"/>
      <c r="W34" s="833"/>
      <c r="X34" s="833"/>
      <c r="Y34" s="834"/>
    </row>
    <row r="35" spans="2:25" ht="42.5" thickBot="1" x14ac:dyDescent="0.4">
      <c r="B35" s="736" t="s">
        <v>626</v>
      </c>
      <c r="C35" s="736"/>
      <c r="D35" s="738"/>
      <c r="E35" s="736"/>
      <c r="F35" s="742"/>
      <c r="G35" s="746">
        <v>400000000</v>
      </c>
      <c r="H35" s="398"/>
      <c r="I35" s="819"/>
      <c r="J35" s="820"/>
      <c r="K35" s="820"/>
      <c r="L35" s="820"/>
      <c r="M35" s="820"/>
      <c r="N35" s="827"/>
      <c r="O35" s="801"/>
      <c r="P35" s="801"/>
      <c r="Q35" s="828"/>
      <c r="R35" s="835"/>
      <c r="S35" s="836"/>
      <c r="T35" s="836"/>
      <c r="U35" s="837"/>
      <c r="V35" s="833"/>
      <c r="W35" s="833"/>
      <c r="X35" s="833"/>
      <c r="Y35" s="834"/>
    </row>
    <row r="36" spans="2:25" ht="18.5" thickBot="1" x14ac:dyDescent="0.4">
      <c r="B36" s="727" t="s">
        <v>627</v>
      </c>
      <c r="C36" s="728"/>
      <c r="D36" s="728"/>
      <c r="E36" s="728"/>
      <c r="F36" s="731"/>
      <c r="G36" s="732">
        <v>7034368817.2529411</v>
      </c>
      <c r="H36" s="729"/>
      <c r="I36" s="729"/>
      <c r="J36" s="729"/>
      <c r="K36" s="729"/>
      <c r="L36" s="729"/>
      <c r="M36" s="729"/>
      <c r="N36" s="729"/>
      <c r="O36" s="729"/>
      <c r="P36" s="729"/>
      <c r="Q36" s="729"/>
      <c r="R36" s="728"/>
      <c r="S36" s="728"/>
      <c r="T36" s="728"/>
      <c r="U36" s="728"/>
      <c r="V36" s="728"/>
      <c r="W36" s="728"/>
      <c r="X36" s="728"/>
      <c r="Y36" s="730"/>
    </row>
    <row r="37" spans="2:25" ht="25.5" customHeight="1" x14ac:dyDescent="0.35">
      <c r="B37" s="521"/>
      <c r="C37" s="389"/>
      <c r="D37" s="389"/>
      <c r="E37" s="389"/>
      <c r="F37" s="401"/>
      <c r="G37" s="810"/>
      <c r="H37" s="810"/>
      <c r="I37" s="522"/>
      <c r="J37" s="522"/>
      <c r="K37" s="522"/>
      <c r="L37" s="522"/>
      <c r="M37" s="522"/>
      <c r="N37" s="522"/>
      <c r="O37" s="522"/>
      <c r="P37" s="522"/>
      <c r="Q37" s="522"/>
      <c r="R37" s="366"/>
      <c r="S37" s="366"/>
      <c r="T37" s="366"/>
      <c r="U37" s="366"/>
      <c r="V37" s="366"/>
      <c r="X37" s="811"/>
      <c r="Y37" s="811"/>
    </row>
    <row r="38" spans="2:25" x14ac:dyDescent="0.35">
      <c r="H38" s="366"/>
      <c r="I38" s="366"/>
      <c r="J38" s="366"/>
      <c r="K38" s="366"/>
      <c r="L38" s="366"/>
      <c r="M38" s="366"/>
      <c r="N38" s="366"/>
      <c r="O38" s="366"/>
      <c r="P38" s="366"/>
      <c r="Q38" s="366"/>
      <c r="R38" s="366"/>
      <c r="S38" s="366"/>
      <c r="T38" s="366"/>
      <c r="U38" s="366"/>
      <c r="V38" s="366"/>
    </row>
    <row r="39" spans="2:25" x14ac:dyDescent="0.35">
      <c r="H39" s="366"/>
      <c r="I39" s="366"/>
      <c r="J39" s="366"/>
      <c r="K39" s="366"/>
      <c r="L39" s="366"/>
      <c r="M39" s="366"/>
      <c r="N39" s="366"/>
      <c r="O39" s="366"/>
      <c r="P39" s="366"/>
      <c r="Q39" s="366"/>
      <c r="R39" s="366"/>
      <c r="S39" s="366"/>
      <c r="T39" s="366"/>
      <c r="U39" s="366"/>
      <c r="V39" s="366"/>
    </row>
    <row r="40" spans="2:25" x14ac:dyDescent="0.35">
      <c r="H40" s="366"/>
      <c r="I40" s="366"/>
      <c r="J40" s="366"/>
      <c r="K40" s="366"/>
      <c r="L40" s="366"/>
      <c r="M40" s="366"/>
      <c r="N40" s="366"/>
      <c r="O40" s="366"/>
      <c r="P40" s="366"/>
      <c r="Q40" s="366"/>
      <c r="R40" s="366"/>
      <c r="S40" s="366"/>
      <c r="T40" s="366"/>
      <c r="U40" s="366"/>
      <c r="V40" s="366"/>
    </row>
    <row r="41" spans="2:25" x14ac:dyDescent="0.35">
      <c r="H41" s="366"/>
      <c r="I41" s="366"/>
      <c r="J41" s="366"/>
      <c r="K41" s="366"/>
      <c r="L41" s="366"/>
      <c r="M41" s="366"/>
      <c r="N41" s="366"/>
      <c r="O41" s="366"/>
      <c r="P41" s="366"/>
      <c r="Q41" s="366"/>
      <c r="R41" s="366"/>
      <c r="S41" s="366"/>
      <c r="T41" s="366"/>
      <c r="U41" s="366"/>
      <c r="V41" s="366"/>
    </row>
    <row r="42" spans="2:25" x14ac:dyDescent="0.35">
      <c r="H42" s="366"/>
      <c r="I42" s="366"/>
      <c r="J42" s="366"/>
      <c r="K42" s="366"/>
      <c r="L42" s="366"/>
      <c r="M42" s="366"/>
      <c r="N42" s="366"/>
      <c r="O42" s="366"/>
      <c r="P42" s="366"/>
      <c r="Q42" s="366"/>
      <c r="R42" s="366"/>
      <c r="S42" s="366"/>
      <c r="T42" s="366"/>
      <c r="U42" s="366"/>
      <c r="V42" s="366"/>
    </row>
    <row r="43" spans="2:25" x14ac:dyDescent="0.35">
      <c r="H43" s="366"/>
      <c r="I43" s="366"/>
      <c r="J43" s="366"/>
      <c r="K43" s="366"/>
      <c r="L43" s="366"/>
      <c r="M43" s="366"/>
      <c r="N43" s="366"/>
      <c r="O43" s="366"/>
      <c r="P43" s="366"/>
      <c r="Q43" s="366"/>
      <c r="R43" s="366"/>
      <c r="S43" s="366"/>
      <c r="T43" s="366"/>
      <c r="U43" s="366"/>
      <c r="V43" s="366"/>
    </row>
    <row r="44" spans="2:25" x14ac:dyDescent="0.35">
      <c r="H44" s="366"/>
      <c r="I44" s="366"/>
      <c r="J44" s="366"/>
      <c r="K44" s="366"/>
      <c r="L44" s="366"/>
      <c r="M44" s="366"/>
      <c r="N44" s="366"/>
      <c r="O44" s="366"/>
      <c r="P44" s="366"/>
      <c r="Q44" s="366"/>
      <c r="R44" s="366"/>
      <c r="S44" s="366"/>
      <c r="T44" s="366"/>
      <c r="U44" s="366"/>
      <c r="V44" s="366"/>
    </row>
    <row r="45" spans="2:25" x14ac:dyDescent="0.35">
      <c r="H45" s="366"/>
      <c r="I45" s="366"/>
      <c r="J45" s="366"/>
      <c r="K45" s="366"/>
      <c r="L45" s="366"/>
      <c r="M45" s="366"/>
      <c r="N45" s="366"/>
      <c r="O45" s="366"/>
      <c r="P45" s="366"/>
      <c r="Q45" s="366"/>
      <c r="R45" s="366"/>
      <c r="S45" s="366"/>
      <c r="T45" s="366"/>
      <c r="U45" s="366"/>
      <c r="V45" s="366"/>
    </row>
    <row r="46" spans="2:25" x14ac:dyDescent="0.35">
      <c r="H46" s="366"/>
      <c r="I46" s="366"/>
      <c r="J46" s="366"/>
      <c r="K46" s="366"/>
      <c r="L46" s="366"/>
      <c r="M46" s="366"/>
      <c r="N46" s="366"/>
      <c r="O46" s="366"/>
      <c r="P46" s="366"/>
      <c r="Q46" s="366"/>
      <c r="R46" s="366"/>
      <c r="S46" s="366"/>
      <c r="T46" s="366"/>
      <c r="U46" s="366"/>
      <c r="V46" s="366"/>
    </row>
    <row r="71" spans="4:4" x14ac:dyDescent="0.35">
      <c r="D71" s="357" t="s">
        <v>452</v>
      </c>
    </row>
    <row r="96" s="357" customFormat="1" x14ac:dyDescent="0.35"/>
    <row r="97" s="357" customFormat="1" x14ac:dyDescent="0.35"/>
    <row r="98" s="357" customFormat="1" x14ac:dyDescent="0.35"/>
    <row r="99" s="357" customFormat="1" x14ac:dyDescent="0.35"/>
    <row r="100" s="357" customFormat="1" x14ac:dyDescent="0.35"/>
    <row r="101" s="357" customFormat="1" x14ac:dyDescent="0.35"/>
    <row r="102" s="357" customFormat="1" x14ac:dyDescent="0.35"/>
    <row r="103" s="357" customFormat="1" x14ac:dyDescent="0.35"/>
    <row r="104" s="357" customFormat="1" x14ac:dyDescent="0.35"/>
    <row r="105" s="357" customFormat="1" x14ac:dyDescent="0.35"/>
    <row r="106" s="357" customFormat="1" x14ac:dyDescent="0.35"/>
    <row r="107" s="357" customFormat="1" x14ac:dyDescent="0.35"/>
  </sheetData>
  <mergeCells count="55">
    <mergeCell ref="C1:D3"/>
    <mergeCell ref="E1:G3"/>
    <mergeCell ref="R4:V4"/>
    <mergeCell ref="H5:H6"/>
    <mergeCell ref="I5:Q6"/>
    <mergeCell ref="R5:U6"/>
    <mergeCell ref="V5:Y6"/>
    <mergeCell ref="R7:U7"/>
    <mergeCell ref="V7:Y7"/>
    <mergeCell ref="C6:D6"/>
    <mergeCell ref="E6:G6"/>
    <mergeCell ref="B7:B8"/>
    <mergeCell ref="C7:D7"/>
    <mergeCell ref="E7:E8"/>
    <mergeCell ref="F7:F8"/>
    <mergeCell ref="I7:M7"/>
    <mergeCell ref="N7:Q7"/>
    <mergeCell ref="N11:Q11"/>
    <mergeCell ref="R11:U11"/>
    <mergeCell ref="V11:Y11"/>
    <mergeCell ref="C8:D8"/>
    <mergeCell ref="B9:B10"/>
    <mergeCell ref="C9:C10"/>
    <mergeCell ref="D9:D10"/>
    <mergeCell ref="E9:E10"/>
    <mergeCell ref="F9:F10"/>
    <mergeCell ref="I10:M10"/>
    <mergeCell ref="N10:Q10"/>
    <mergeCell ref="R10:U10"/>
    <mergeCell ref="V10:Y10"/>
    <mergeCell ref="G37:H37"/>
    <mergeCell ref="X37:Y37"/>
    <mergeCell ref="R26:U26"/>
    <mergeCell ref="R15:V15"/>
    <mergeCell ref="W15:Y15"/>
    <mergeCell ref="I30:M35"/>
    <mergeCell ref="N30:Q35"/>
    <mergeCell ref="R30:U35"/>
    <mergeCell ref="V30:Y35"/>
    <mergeCell ref="T14:Y14"/>
    <mergeCell ref="R14:S14"/>
    <mergeCell ref="B23:B26"/>
    <mergeCell ref="B21:B22"/>
    <mergeCell ref="E5:F5"/>
    <mergeCell ref="I14:Q14"/>
    <mergeCell ref="I13:M13"/>
    <mergeCell ref="N13:Q13"/>
    <mergeCell ref="R13:U13"/>
    <mergeCell ref="V13:Y13"/>
    <mergeCell ref="I12:M12"/>
    <mergeCell ref="N12:Q12"/>
    <mergeCell ref="R12:U12"/>
    <mergeCell ref="V12:Y12"/>
    <mergeCell ref="G9:G10"/>
    <mergeCell ref="I11:M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C25C4-8EF6-46FB-9523-05BB9BB57BDF}">
  <dimension ref="B5:Y46"/>
  <sheetViews>
    <sheetView topLeftCell="A22" workbookViewId="0">
      <selection activeCell="D33" sqref="D33"/>
    </sheetView>
  </sheetViews>
  <sheetFormatPr defaultColWidth="8.90625" defaultRowHeight="13" x14ac:dyDescent="0.3"/>
  <cols>
    <col min="1" max="4" width="8.90625" style="748"/>
    <col min="5" max="5" width="16.453125" style="748" bestFit="1" customWidth="1"/>
    <col min="6" max="6" width="16" style="748" bestFit="1" customWidth="1"/>
    <col min="7" max="7" width="17.54296875" style="748" bestFit="1" customWidth="1"/>
    <col min="8" max="8" width="17" style="748" bestFit="1" customWidth="1"/>
    <col min="9" max="11" width="16" style="748" bestFit="1" customWidth="1"/>
    <col min="12" max="13" width="8.90625" style="748"/>
    <col min="14" max="14" width="11" style="748" bestFit="1" customWidth="1"/>
    <col min="15" max="15" width="2.54296875" style="748" bestFit="1" customWidth="1"/>
    <col min="16" max="16384" width="8.90625" style="748"/>
  </cols>
  <sheetData>
    <row r="5" spans="2:25" ht="13.5" thickBot="1" x14ac:dyDescent="0.35"/>
    <row r="6" spans="2:25" x14ac:dyDescent="0.3">
      <c r="B6" s="894" t="s">
        <v>433</v>
      </c>
      <c r="C6" s="882" t="s">
        <v>461</v>
      </c>
      <c r="D6" s="882"/>
      <c r="E6" s="895"/>
      <c r="F6" s="896"/>
      <c r="G6" s="749"/>
      <c r="H6" s="750" t="s">
        <v>434</v>
      </c>
      <c r="I6" s="897" t="s">
        <v>453</v>
      </c>
      <c r="J6" s="898"/>
      <c r="K6" s="898"/>
      <c r="L6" s="898"/>
      <c r="M6" s="899"/>
      <c r="N6" s="897" t="s">
        <v>454</v>
      </c>
      <c r="O6" s="898"/>
      <c r="P6" s="898"/>
      <c r="Q6" s="899"/>
      <c r="R6" s="879" t="s">
        <v>455</v>
      </c>
      <c r="S6" s="880"/>
      <c r="T6" s="880"/>
      <c r="U6" s="881"/>
      <c r="V6" s="880" t="s">
        <v>456</v>
      </c>
      <c r="W6" s="880"/>
      <c r="X6" s="880"/>
      <c r="Y6" s="881"/>
    </row>
    <row r="7" spans="2:25" ht="26.5" thickBot="1" x14ac:dyDescent="0.35">
      <c r="B7" s="894"/>
      <c r="C7" s="882" t="s">
        <v>462</v>
      </c>
      <c r="D7" s="882"/>
      <c r="E7" s="895"/>
      <c r="F7" s="896"/>
      <c r="G7" s="751">
        <v>96632199700</v>
      </c>
      <c r="H7" s="752" t="s">
        <v>435</v>
      </c>
      <c r="I7" s="753">
        <v>1</v>
      </c>
      <c r="J7" s="754">
        <v>8</v>
      </c>
      <c r="K7" s="754">
        <v>15</v>
      </c>
      <c r="L7" s="754">
        <v>22</v>
      </c>
      <c r="M7" s="755">
        <v>29</v>
      </c>
      <c r="N7" s="753">
        <v>5</v>
      </c>
      <c r="O7" s="754">
        <v>12</v>
      </c>
      <c r="P7" s="754">
        <v>19</v>
      </c>
      <c r="Q7" s="755">
        <v>26</v>
      </c>
      <c r="R7" s="756">
        <v>5</v>
      </c>
      <c r="S7" s="757">
        <v>12</v>
      </c>
      <c r="T7" s="757">
        <v>19</v>
      </c>
      <c r="U7" s="758">
        <v>26</v>
      </c>
      <c r="V7" s="757">
        <v>2</v>
      </c>
      <c r="W7" s="757">
        <v>9</v>
      </c>
      <c r="X7" s="757">
        <v>16</v>
      </c>
      <c r="Y7" s="758">
        <v>23</v>
      </c>
    </row>
    <row r="8" spans="2:25" ht="13.5" thickBot="1" x14ac:dyDescent="0.35">
      <c r="B8" s="883" t="s">
        <v>436</v>
      </c>
      <c r="C8" s="885" t="s">
        <v>437</v>
      </c>
      <c r="D8" s="885" t="s">
        <v>438</v>
      </c>
      <c r="E8" s="885" t="s">
        <v>439</v>
      </c>
      <c r="F8" s="887" t="s">
        <v>440</v>
      </c>
      <c r="G8" s="889" t="s">
        <v>13</v>
      </c>
      <c r="H8" s="759" t="s">
        <v>441</v>
      </c>
      <c r="I8" s="760">
        <v>1</v>
      </c>
      <c r="J8" s="761">
        <v>2</v>
      </c>
      <c r="K8" s="761">
        <v>3</v>
      </c>
      <c r="L8" s="761">
        <v>4</v>
      </c>
      <c r="M8" s="762">
        <v>5</v>
      </c>
      <c r="N8" s="760">
        <v>6</v>
      </c>
      <c r="O8" s="761">
        <v>7</v>
      </c>
      <c r="P8" s="761">
        <v>8</v>
      </c>
      <c r="Q8" s="762">
        <v>9</v>
      </c>
      <c r="R8" s="763">
        <v>10</v>
      </c>
      <c r="S8" s="764">
        <v>11</v>
      </c>
      <c r="T8" s="764">
        <v>12</v>
      </c>
      <c r="U8" s="765">
        <v>13</v>
      </c>
      <c r="V8" s="764">
        <v>14</v>
      </c>
      <c r="W8" s="764">
        <v>15</v>
      </c>
      <c r="X8" s="764">
        <v>16</v>
      </c>
      <c r="Y8" s="765">
        <v>17</v>
      </c>
    </row>
    <row r="9" spans="2:25" ht="13.5" thickBot="1" x14ac:dyDescent="0.35">
      <c r="B9" s="884"/>
      <c r="C9" s="886"/>
      <c r="D9" s="886"/>
      <c r="E9" s="886"/>
      <c r="F9" s="888"/>
      <c r="G9" s="890"/>
      <c r="H9" s="766" t="s">
        <v>528</v>
      </c>
      <c r="I9" s="891">
        <f>I11*7.5%</f>
        <v>1451594400</v>
      </c>
      <c r="J9" s="892"/>
      <c r="K9" s="892"/>
      <c r="L9" s="892"/>
      <c r="M9" s="893"/>
      <c r="N9" s="891">
        <f>N11*7.5%</f>
        <v>1524174120</v>
      </c>
      <c r="O9" s="892"/>
      <c r="P9" s="892"/>
      <c r="Q9" s="893"/>
      <c r="R9" s="900">
        <f>R11*7.5%</f>
        <v>1676591532</v>
      </c>
      <c r="S9" s="901"/>
      <c r="T9" s="901"/>
      <c r="U9" s="902"/>
      <c r="V9" s="900">
        <f>V11*7.5%</f>
        <v>2605611948</v>
      </c>
      <c r="W9" s="901"/>
      <c r="X9" s="901"/>
      <c r="Y9" s="902"/>
    </row>
    <row r="10" spans="2:25" ht="26" x14ac:dyDescent="0.3">
      <c r="B10" s="767" t="s">
        <v>558</v>
      </c>
      <c r="C10" s="768"/>
      <c r="D10" s="768"/>
      <c r="E10" s="768"/>
      <c r="F10" s="769"/>
      <c r="G10" s="770">
        <v>105188000000</v>
      </c>
      <c r="H10" s="767"/>
      <c r="I10" s="903">
        <f>G10*20%</f>
        <v>21037600000</v>
      </c>
      <c r="J10" s="904"/>
      <c r="K10" s="904"/>
      <c r="L10" s="904"/>
      <c r="M10" s="905"/>
      <c r="N10" s="906">
        <f>I10*5%+I10</f>
        <v>22089480000</v>
      </c>
      <c r="O10" s="907"/>
      <c r="P10" s="907"/>
      <c r="Q10" s="908"/>
      <c r="R10" s="903">
        <f>N10+N10*10%</f>
        <v>24298428000</v>
      </c>
      <c r="S10" s="904"/>
      <c r="T10" s="904"/>
      <c r="U10" s="905"/>
      <c r="V10" s="904">
        <f>G10-SUM(I10:U10)</f>
        <v>37762492000</v>
      </c>
      <c r="W10" s="904"/>
      <c r="X10" s="904"/>
      <c r="Y10" s="905"/>
    </row>
    <row r="11" spans="2:25" ht="26" x14ac:dyDescent="0.3">
      <c r="B11" s="767" t="s">
        <v>458</v>
      </c>
      <c r="C11" s="768"/>
      <c r="D11" s="768"/>
      <c r="E11" s="768"/>
      <c r="F11" s="769"/>
      <c r="G11" s="771">
        <v>96632199700</v>
      </c>
      <c r="H11" s="767"/>
      <c r="I11" s="903">
        <f>I10-8%*I10</f>
        <v>19354592000</v>
      </c>
      <c r="J11" s="904"/>
      <c r="K11" s="904"/>
      <c r="L11" s="904"/>
      <c r="M11" s="905"/>
      <c r="N11" s="903">
        <f>N10-8%*N10</f>
        <v>20322321600</v>
      </c>
      <c r="O11" s="904"/>
      <c r="P11" s="904"/>
      <c r="Q11" s="905"/>
      <c r="R11" s="903">
        <f>R10-8%*R10</f>
        <v>22354553760</v>
      </c>
      <c r="S11" s="904"/>
      <c r="T11" s="904"/>
      <c r="U11" s="905"/>
      <c r="V11" s="904">
        <f>V10-8%*V10</f>
        <v>34741492640</v>
      </c>
      <c r="W11" s="904"/>
      <c r="X11" s="904"/>
      <c r="Y11" s="905"/>
    </row>
    <row r="14" spans="2:25" x14ac:dyDescent="0.3">
      <c r="E14" s="776"/>
      <c r="F14" s="777" t="s">
        <v>629</v>
      </c>
      <c r="G14" s="777" t="s">
        <v>455</v>
      </c>
      <c r="H14" s="777" t="s">
        <v>456</v>
      </c>
    </row>
    <row r="15" spans="2:25" x14ac:dyDescent="0.3">
      <c r="E15" s="776" t="s">
        <v>42</v>
      </c>
      <c r="F15" s="773">
        <v>5622508976</v>
      </c>
      <c r="G15" s="773">
        <v>6049277729.5999994</v>
      </c>
      <c r="H15" s="773">
        <v>8650534894.3999996</v>
      </c>
    </row>
    <row r="16" spans="2:25" x14ac:dyDescent="0.3">
      <c r="E16" s="776" t="s">
        <v>531</v>
      </c>
      <c r="F16" s="774">
        <f>F15*80%</f>
        <v>4498007180.8000002</v>
      </c>
      <c r="G16" s="774">
        <f t="shared" ref="G16:H16" si="0">G15*80%</f>
        <v>4839422183.6799994</v>
      </c>
      <c r="H16" s="774">
        <f t="shared" si="0"/>
        <v>6920427915.5200005</v>
      </c>
    </row>
    <row r="17" spans="5:11" x14ac:dyDescent="0.3">
      <c r="E17" s="776" t="s">
        <v>532</v>
      </c>
      <c r="F17" s="774">
        <f>F15-F16</f>
        <v>1124501795.1999998</v>
      </c>
      <c r="G17" s="774">
        <f t="shared" ref="G17:H17" si="1">G15-G16</f>
        <v>1209855545.9200001</v>
      </c>
      <c r="H17" s="774">
        <f t="shared" si="1"/>
        <v>1730106978.8799992</v>
      </c>
    </row>
    <row r="18" spans="5:11" x14ac:dyDescent="0.3">
      <c r="E18" s="776" t="s">
        <v>630</v>
      </c>
      <c r="F18" s="775">
        <f>5%*F15</f>
        <v>281125448.80000001</v>
      </c>
      <c r="G18" s="775">
        <f t="shared" ref="G18:H18" si="2">5%*G15</f>
        <v>302463886.47999996</v>
      </c>
      <c r="H18" s="775">
        <f t="shared" si="2"/>
        <v>432526744.72000003</v>
      </c>
    </row>
    <row r="24" spans="5:11" x14ac:dyDescent="0.3">
      <c r="I24" s="782">
        <f>I29/$H$29</f>
        <v>0.27728713627697799</v>
      </c>
      <c r="J24" s="782">
        <f t="shared" ref="J24:K24" si="3">J29/$H$29</f>
        <v>0.29833423216306182</v>
      </c>
      <c r="K24" s="782">
        <f t="shared" si="3"/>
        <v>0.42662129280204919</v>
      </c>
    </row>
    <row r="25" spans="5:11" x14ac:dyDescent="0.3">
      <c r="F25" s="779" t="s">
        <v>632</v>
      </c>
      <c r="G25" s="779" t="s">
        <v>98</v>
      </c>
      <c r="H25" s="779" t="s">
        <v>631</v>
      </c>
      <c r="I25" s="777" t="s">
        <v>629</v>
      </c>
      <c r="J25" s="777" t="s">
        <v>455</v>
      </c>
      <c r="K25" s="777" t="s">
        <v>456</v>
      </c>
    </row>
    <row r="26" spans="5:11" x14ac:dyDescent="0.3">
      <c r="F26" s="778" t="s">
        <v>36</v>
      </c>
      <c r="G26" s="780">
        <v>0.28000000000000003</v>
      </c>
      <c r="H26" s="781">
        <f>H29*G26</f>
        <v>5677517300.000001</v>
      </c>
      <c r="I26" s="775">
        <f>$H$26*I24</f>
        <v>1574302513.2800004</v>
      </c>
      <c r="J26" s="775">
        <f t="shared" ref="J26:K26" si="4">$H$26*J24</f>
        <v>1693797764.2880001</v>
      </c>
      <c r="K26" s="775">
        <f t="shared" si="4"/>
        <v>2422149770.4320002</v>
      </c>
    </row>
    <row r="27" spans="5:11" x14ac:dyDescent="0.3">
      <c r="F27" s="778" t="s">
        <v>37</v>
      </c>
      <c r="G27" s="780">
        <v>0.48529411764705882</v>
      </c>
      <c r="H27" s="781">
        <v>9840234816.1764698</v>
      </c>
      <c r="I27" s="775">
        <f>$H$27*I24</f>
        <v>2728570532.4705882</v>
      </c>
      <c r="J27" s="775">
        <f t="shared" ref="J27:K27" si="5">$H$27*J24</f>
        <v>2935678898.1882348</v>
      </c>
      <c r="K27" s="775">
        <f t="shared" si="5"/>
        <v>4198053698.7529402</v>
      </c>
    </row>
    <row r="28" spans="5:11" x14ac:dyDescent="0.3">
      <c r="F28" s="778" t="s">
        <v>38</v>
      </c>
      <c r="G28" s="780">
        <v>0.23</v>
      </c>
      <c r="H28" s="781">
        <f>G28*H29</f>
        <v>4663674925</v>
      </c>
      <c r="I28" s="775">
        <f>$H$28*I24</f>
        <v>1293177064.48</v>
      </c>
      <c r="J28" s="775">
        <f t="shared" ref="J28:K28" si="6">$H$28*J24</f>
        <v>1391333877.8079998</v>
      </c>
      <c r="K28" s="775">
        <f t="shared" si="6"/>
        <v>1989623025.7119999</v>
      </c>
    </row>
    <row r="29" spans="5:11" x14ac:dyDescent="0.3">
      <c r="F29" s="778" t="s">
        <v>13</v>
      </c>
      <c r="G29" s="780">
        <v>1</v>
      </c>
      <c r="H29" s="781">
        <v>20276847500</v>
      </c>
      <c r="I29" s="773">
        <v>5622508976</v>
      </c>
      <c r="J29" s="773">
        <v>6049277729.5999994</v>
      </c>
      <c r="K29" s="773">
        <v>8650534894.3999996</v>
      </c>
    </row>
    <row r="31" spans="5:11" x14ac:dyDescent="0.3">
      <c r="F31" s="909"/>
      <c r="G31" s="910"/>
      <c r="H31" s="778" t="s">
        <v>629</v>
      </c>
      <c r="I31" s="778" t="s">
        <v>455</v>
      </c>
      <c r="J31" s="778" t="s">
        <v>456</v>
      </c>
    </row>
    <row r="32" spans="5:11" x14ac:dyDescent="0.3">
      <c r="F32" s="784" t="s">
        <v>36</v>
      </c>
      <c r="G32" s="784" t="s">
        <v>98</v>
      </c>
      <c r="H32" s="785">
        <v>1574302513.2800004</v>
      </c>
      <c r="I32" s="785">
        <v>1693797764.2880001</v>
      </c>
      <c r="J32" s="785">
        <v>2422149770.4320002</v>
      </c>
    </row>
    <row r="33" spans="6:10" x14ac:dyDescent="0.3">
      <c r="F33" s="778" t="s">
        <v>633</v>
      </c>
      <c r="G33" s="783">
        <v>0.3</v>
      </c>
      <c r="H33" s="775">
        <f>G33*$H$32</f>
        <v>472290753.98400015</v>
      </c>
      <c r="I33" s="775">
        <f>G33*$I$32</f>
        <v>508139329.28640002</v>
      </c>
      <c r="J33" s="772"/>
    </row>
    <row r="34" spans="6:10" x14ac:dyDescent="0.3">
      <c r="F34" s="778" t="s">
        <v>634</v>
      </c>
      <c r="G34" s="783">
        <v>0.25</v>
      </c>
      <c r="H34" s="775">
        <f t="shared" ref="H34:H36" si="7">G34*$H$32</f>
        <v>393575628.32000011</v>
      </c>
      <c r="I34" s="772"/>
      <c r="J34" s="772"/>
    </row>
    <row r="35" spans="6:10" x14ac:dyDescent="0.3">
      <c r="F35" s="778" t="s">
        <v>635</v>
      </c>
      <c r="G35" s="783">
        <v>0.3</v>
      </c>
      <c r="H35" s="775">
        <f t="shared" si="7"/>
        <v>472290753.98400015</v>
      </c>
      <c r="I35" s="772"/>
      <c r="J35" s="772"/>
    </row>
    <row r="36" spans="6:10" x14ac:dyDescent="0.3">
      <c r="F36" s="778" t="s">
        <v>636</v>
      </c>
      <c r="G36" s="783">
        <v>0.15</v>
      </c>
      <c r="H36" s="775">
        <f t="shared" si="7"/>
        <v>236145376.99200007</v>
      </c>
      <c r="I36" s="772"/>
      <c r="J36" s="772"/>
    </row>
    <row r="37" spans="6:10" x14ac:dyDescent="0.3">
      <c r="F37" s="784" t="s">
        <v>37</v>
      </c>
      <c r="G37" s="784" t="s">
        <v>98</v>
      </c>
      <c r="H37" s="786">
        <v>2728570532.4705882</v>
      </c>
      <c r="I37" s="786">
        <v>2935678898.1882348</v>
      </c>
      <c r="J37" s="786">
        <v>4198053698.7529402</v>
      </c>
    </row>
    <row r="38" spans="6:10" x14ac:dyDescent="0.3">
      <c r="F38" s="778" t="s">
        <v>633</v>
      </c>
      <c r="G38" s="783">
        <v>0.3</v>
      </c>
      <c r="H38" s="775">
        <f>G38*$H$37</f>
        <v>818571159.74117649</v>
      </c>
      <c r="I38" s="772"/>
      <c r="J38" s="772"/>
    </row>
    <row r="39" spans="6:10" x14ac:dyDescent="0.3">
      <c r="F39" s="778" t="s">
        <v>634</v>
      </c>
      <c r="G39" s="783">
        <v>0.25</v>
      </c>
      <c r="H39" s="775">
        <f t="shared" ref="H39:H41" si="8">G39*$H$37</f>
        <v>682142633.11764705</v>
      </c>
      <c r="I39" s="772"/>
      <c r="J39" s="772"/>
    </row>
    <row r="40" spans="6:10" x14ac:dyDescent="0.3">
      <c r="F40" s="778" t="s">
        <v>635</v>
      </c>
      <c r="G40" s="783">
        <v>0.3</v>
      </c>
      <c r="H40" s="775">
        <f t="shared" si="8"/>
        <v>818571159.74117649</v>
      </c>
      <c r="I40" s="772"/>
      <c r="J40" s="772"/>
    </row>
    <row r="41" spans="6:10" x14ac:dyDescent="0.3">
      <c r="F41" s="778" t="s">
        <v>636</v>
      </c>
      <c r="G41" s="783">
        <v>0.15</v>
      </c>
      <c r="H41" s="775">
        <f t="shared" si="8"/>
        <v>409285579.87058824</v>
      </c>
      <c r="I41" s="772"/>
      <c r="J41" s="772"/>
    </row>
    <row r="42" spans="6:10" x14ac:dyDescent="0.3">
      <c r="F42" s="784" t="s">
        <v>38</v>
      </c>
      <c r="G42" s="784" t="s">
        <v>98</v>
      </c>
      <c r="H42" s="786">
        <v>1293177064.48</v>
      </c>
      <c r="I42" s="786">
        <v>1391333877.8079998</v>
      </c>
      <c r="J42" s="786">
        <v>1989623025.7119999</v>
      </c>
    </row>
    <row r="43" spans="6:10" x14ac:dyDescent="0.3">
      <c r="F43" s="778" t="s">
        <v>633</v>
      </c>
      <c r="G43" s="783">
        <v>0.3</v>
      </c>
      <c r="H43" s="775">
        <f>G43*$H$42</f>
        <v>387953119.34399998</v>
      </c>
      <c r="I43" s="772"/>
      <c r="J43" s="772"/>
    </row>
    <row r="44" spans="6:10" x14ac:dyDescent="0.3">
      <c r="F44" s="778" t="s">
        <v>634</v>
      </c>
      <c r="G44" s="783">
        <v>0.25</v>
      </c>
      <c r="H44" s="775">
        <f t="shared" ref="H44:H46" si="9">G44*$H$42</f>
        <v>323294266.12</v>
      </c>
      <c r="I44" s="772"/>
      <c r="J44" s="772"/>
    </row>
    <row r="45" spans="6:10" x14ac:dyDescent="0.3">
      <c r="F45" s="778" t="s">
        <v>635</v>
      </c>
      <c r="G45" s="783">
        <v>0.3</v>
      </c>
      <c r="H45" s="775">
        <f t="shared" si="9"/>
        <v>387953119.34399998</v>
      </c>
      <c r="I45" s="772"/>
      <c r="J45" s="772"/>
    </row>
    <row r="46" spans="6:10" x14ac:dyDescent="0.3">
      <c r="F46" s="778" t="s">
        <v>636</v>
      </c>
      <c r="G46" s="783">
        <v>0.15</v>
      </c>
      <c r="H46" s="775">
        <f t="shared" si="9"/>
        <v>193976559.67199999</v>
      </c>
      <c r="I46" s="772"/>
      <c r="J46" s="772"/>
    </row>
  </sheetData>
  <mergeCells count="28">
    <mergeCell ref="F31:G31"/>
    <mergeCell ref="I11:M11"/>
    <mergeCell ref="N11:Q11"/>
    <mergeCell ref="R11:U11"/>
    <mergeCell ref="V11:Y11"/>
    <mergeCell ref="N9:Q9"/>
    <mergeCell ref="R9:U9"/>
    <mergeCell ref="V9:Y9"/>
    <mergeCell ref="I10:M10"/>
    <mergeCell ref="N10:Q10"/>
    <mergeCell ref="R10:U10"/>
    <mergeCell ref="V10:Y10"/>
    <mergeCell ref="R6:U6"/>
    <mergeCell ref="V6:Y6"/>
    <mergeCell ref="C7:D7"/>
    <mergeCell ref="B8:B9"/>
    <mergeCell ref="C8:C9"/>
    <mergeCell ref="D8:D9"/>
    <mergeCell ref="E8:E9"/>
    <mergeCell ref="F8:F9"/>
    <mergeCell ref="G8:G9"/>
    <mergeCell ref="I9:M9"/>
    <mergeCell ref="B6:B7"/>
    <mergeCell ref="C6:D6"/>
    <mergeCell ref="E6:E7"/>
    <mergeCell ref="F6:F7"/>
    <mergeCell ref="I6:M6"/>
    <mergeCell ref="N6:Q6"/>
  </mergeCells>
  <pageMargins left="0.7" right="0.7" top="0.75" bottom="0.75" header="0.3" footer="0.3"/>
  <pageSetup paperSize="9" scale="3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32BF5-6FA6-4D23-8214-C7459DD190EC}">
  <dimension ref="B3:H12"/>
  <sheetViews>
    <sheetView workbookViewId="0">
      <selection activeCell="G20" sqref="G20"/>
    </sheetView>
  </sheetViews>
  <sheetFormatPr defaultRowHeight="14.5" x14ac:dyDescent="0.35"/>
  <cols>
    <col min="2" max="2" width="8.90625" style="788"/>
    <col min="3" max="3" width="20" bestFit="1" customWidth="1"/>
    <col min="4" max="4" width="18.1796875" style="712" bestFit="1" customWidth="1"/>
    <col min="5" max="5" width="17.1796875" style="712" bestFit="1" customWidth="1"/>
    <col min="6" max="6" width="8.90625" style="787"/>
    <col min="7" max="7" width="13.54296875" customWidth="1"/>
    <col min="8" max="8" width="20" bestFit="1" customWidth="1"/>
  </cols>
  <sheetData>
    <row r="3" spans="2:8" x14ac:dyDescent="0.35">
      <c r="B3" s="791" t="s">
        <v>17</v>
      </c>
      <c r="C3" s="789"/>
      <c r="D3" s="789"/>
      <c r="E3" s="789"/>
      <c r="F3" s="789"/>
      <c r="G3" s="789"/>
      <c r="H3" s="789"/>
    </row>
    <row r="4" spans="2:8" x14ac:dyDescent="0.35">
      <c r="B4" s="791" t="s">
        <v>6</v>
      </c>
      <c r="C4" s="789" t="s">
        <v>5</v>
      </c>
      <c r="D4" s="789" t="s">
        <v>4</v>
      </c>
      <c r="E4" s="789" t="s">
        <v>93</v>
      </c>
      <c r="F4" s="790" t="s">
        <v>7</v>
      </c>
      <c r="G4" s="789" t="s">
        <v>8</v>
      </c>
      <c r="H4" s="789" t="s">
        <v>10</v>
      </c>
    </row>
    <row r="5" spans="2:8" x14ac:dyDescent="0.35">
      <c r="B5" s="791">
        <v>1</v>
      </c>
      <c r="C5" s="789" t="s">
        <v>0</v>
      </c>
      <c r="D5" s="789">
        <v>40000000000</v>
      </c>
      <c r="E5" s="789">
        <v>37676000000</v>
      </c>
      <c r="F5" s="790">
        <v>0.06</v>
      </c>
      <c r="G5" s="789">
        <v>2256570776.4705882</v>
      </c>
      <c r="H5" s="789" t="s">
        <v>12</v>
      </c>
    </row>
    <row r="6" spans="2:8" x14ac:dyDescent="0.35">
      <c r="B6" s="791">
        <v>2</v>
      </c>
      <c r="C6" s="789" t="s">
        <v>1</v>
      </c>
      <c r="D6" s="789">
        <v>12344000000</v>
      </c>
      <c r="E6" s="789">
        <v>11626813600</v>
      </c>
      <c r="F6" s="790">
        <v>7.4999999999999997E-2</v>
      </c>
      <c r="G6" s="789">
        <v>870472177.02352929</v>
      </c>
      <c r="H6" s="789" t="s">
        <v>11</v>
      </c>
    </row>
    <row r="7" spans="2:8" x14ac:dyDescent="0.35">
      <c r="B7" s="791">
        <v>3</v>
      </c>
      <c r="C7" s="789" t="s">
        <v>3</v>
      </c>
      <c r="D7" s="789">
        <v>12344000000</v>
      </c>
      <c r="E7" s="789">
        <v>11626813600</v>
      </c>
      <c r="F7" s="790">
        <v>7.4999999999999997E-2</v>
      </c>
      <c r="G7" s="789">
        <v>870472177.02352929</v>
      </c>
      <c r="H7" s="789" t="s">
        <v>11</v>
      </c>
    </row>
    <row r="8" spans="2:8" x14ac:dyDescent="0.35">
      <c r="B8" s="791">
        <v>4</v>
      </c>
      <c r="C8" s="789" t="s">
        <v>9</v>
      </c>
      <c r="D8" s="789">
        <v>17045000000</v>
      </c>
      <c r="E8" s="789">
        <v>15425725000</v>
      </c>
      <c r="F8" s="790">
        <v>0.1</v>
      </c>
      <c r="G8" s="789">
        <v>1539850313.2352941</v>
      </c>
      <c r="H8" s="789" t="s">
        <v>14</v>
      </c>
    </row>
    <row r="9" spans="2:8" x14ac:dyDescent="0.35">
      <c r="B9" s="791">
        <v>5</v>
      </c>
      <c r="C9" s="789" t="s">
        <v>15</v>
      </c>
      <c r="D9" s="789">
        <v>23455000000</v>
      </c>
      <c r="E9" s="789">
        <v>20276847500</v>
      </c>
      <c r="F9" s="790">
        <v>0.05</v>
      </c>
      <c r="G9" s="789">
        <v>1013842375</v>
      </c>
      <c r="H9" s="789" t="s">
        <v>16</v>
      </c>
    </row>
    <row r="10" spans="2:8" x14ac:dyDescent="0.35">
      <c r="B10" s="791" t="s">
        <v>13</v>
      </c>
      <c r="C10" s="789"/>
      <c r="D10" s="789">
        <v>105188000000</v>
      </c>
      <c r="E10" s="789">
        <v>96632199700</v>
      </c>
      <c r="F10" s="790">
        <v>7.2000000000000008E-2</v>
      </c>
      <c r="G10" s="789">
        <v>6551207818.7529411</v>
      </c>
      <c r="H10" s="789">
        <v>6.2280942871363092E-2</v>
      </c>
    </row>
    <row r="11" spans="2:8" x14ac:dyDescent="0.35">
      <c r="B11" s="791"/>
      <c r="C11" s="789"/>
      <c r="D11" s="789"/>
      <c r="E11" s="789"/>
      <c r="F11" s="790">
        <v>5.0000000000000001E-3</v>
      </c>
      <c r="G11" s="789">
        <v>483160998.5</v>
      </c>
      <c r="H11" s="789"/>
    </row>
    <row r="12" spans="2:8" x14ac:dyDescent="0.35">
      <c r="B12" s="791"/>
      <c r="C12" s="789"/>
      <c r="D12" s="789"/>
      <c r="E12" s="789"/>
      <c r="F12" s="789"/>
      <c r="G12" s="789">
        <v>7034368817.2529411</v>
      </c>
      <c r="H12" s="78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BB15-C452-49D2-907C-09E5F1571F09}">
  <sheetPr>
    <tabColor theme="5" tint="0.59999389629810485"/>
  </sheetPr>
  <dimension ref="B1:K62"/>
  <sheetViews>
    <sheetView workbookViewId="0">
      <selection activeCell="B53" sqref="B53:C58"/>
    </sheetView>
  </sheetViews>
  <sheetFormatPr defaultColWidth="8.90625" defaultRowHeight="14" x14ac:dyDescent="0.3"/>
  <cols>
    <col min="1" max="1" width="5.453125" style="544" customWidth="1"/>
    <col min="2" max="2" width="18.08984375" style="544" customWidth="1"/>
    <col min="3" max="3" width="20" style="544" customWidth="1"/>
    <col min="4" max="4" width="28" style="544" customWidth="1"/>
    <col min="5" max="5" width="16.90625" style="544" bestFit="1" customWidth="1"/>
    <col min="6" max="6" width="15.90625" style="544" customWidth="1"/>
    <col min="7" max="7" width="18.90625" style="544" customWidth="1"/>
    <col min="8" max="8" width="16.90625" style="544" bestFit="1" customWidth="1"/>
    <col min="9" max="9" width="14.08984375" style="544" customWidth="1"/>
    <col min="10" max="16384" width="8.90625" style="544"/>
  </cols>
  <sheetData>
    <row r="1" spans="2:8" ht="14.5" thickBot="1" x14ac:dyDescent="0.35"/>
    <row r="2" spans="2:8" ht="15.5" x14ac:dyDescent="0.35">
      <c r="B2" s="585" t="s">
        <v>17</v>
      </c>
      <c r="C2" s="586"/>
      <c r="D2" s="586"/>
      <c r="E2" s="586"/>
      <c r="F2" s="586"/>
      <c r="G2" s="586"/>
      <c r="H2" s="587"/>
    </row>
    <row r="3" spans="2:8" x14ac:dyDescent="0.3">
      <c r="B3" s="588" t="s">
        <v>6</v>
      </c>
      <c r="C3" s="589" t="s">
        <v>5</v>
      </c>
      <c r="D3" s="590" t="s">
        <v>4</v>
      </c>
      <c r="E3" s="591" t="s">
        <v>93</v>
      </c>
      <c r="F3" s="589" t="s">
        <v>7</v>
      </c>
      <c r="G3" s="592" t="s">
        <v>8</v>
      </c>
      <c r="H3" s="593" t="s">
        <v>10</v>
      </c>
    </row>
    <row r="4" spans="2:8" x14ac:dyDescent="0.3">
      <c r="B4" s="594">
        <v>1</v>
      </c>
      <c r="C4" s="595" t="s">
        <v>0</v>
      </c>
      <c r="D4" s="596">
        <v>40000000000</v>
      </c>
      <c r="E4" s="597">
        <v>37676000000</v>
      </c>
      <c r="F4" s="598">
        <v>0.06</v>
      </c>
      <c r="G4" s="597">
        <v>2256570776.4705882</v>
      </c>
      <c r="H4" s="599" t="s">
        <v>12</v>
      </c>
    </row>
    <row r="5" spans="2:8" x14ac:dyDescent="0.3">
      <c r="B5" s="594">
        <v>2</v>
      </c>
      <c r="C5" s="595" t="s">
        <v>1</v>
      </c>
      <c r="D5" s="596">
        <v>12344000000</v>
      </c>
      <c r="E5" s="597">
        <v>11626813600</v>
      </c>
      <c r="F5" s="600">
        <v>7.4999999999999997E-2</v>
      </c>
      <c r="G5" s="597">
        <v>870472177.02352929</v>
      </c>
      <c r="H5" s="599" t="s">
        <v>11</v>
      </c>
    </row>
    <row r="6" spans="2:8" x14ac:dyDescent="0.3">
      <c r="B6" s="594">
        <v>3</v>
      </c>
      <c r="C6" s="595" t="s">
        <v>3</v>
      </c>
      <c r="D6" s="596">
        <v>12344000000</v>
      </c>
      <c r="E6" s="597">
        <v>11626813600</v>
      </c>
      <c r="F6" s="600">
        <v>7.4999999999999997E-2</v>
      </c>
      <c r="G6" s="597">
        <v>870472177.02352929</v>
      </c>
      <c r="H6" s="599" t="s">
        <v>11</v>
      </c>
    </row>
    <row r="7" spans="2:8" x14ac:dyDescent="0.3">
      <c r="B7" s="594">
        <v>4</v>
      </c>
      <c r="C7" s="595" t="s">
        <v>9</v>
      </c>
      <c r="D7" s="596">
        <v>17045000000</v>
      </c>
      <c r="E7" s="597">
        <v>15425725000</v>
      </c>
      <c r="F7" s="598">
        <v>0.1</v>
      </c>
      <c r="G7" s="597">
        <v>1539850313.2352941</v>
      </c>
      <c r="H7" s="599" t="s">
        <v>14</v>
      </c>
    </row>
    <row r="8" spans="2:8" x14ac:dyDescent="0.3">
      <c r="B8" s="594">
        <v>5</v>
      </c>
      <c r="C8" s="595" t="s">
        <v>15</v>
      </c>
      <c r="D8" s="601">
        <f>40500000000-D7</f>
        <v>23455000000</v>
      </c>
      <c r="E8" s="597">
        <v>20276847500</v>
      </c>
      <c r="F8" s="602">
        <v>0.05</v>
      </c>
      <c r="G8" s="597">
        <f>F8*E8</f>
        <v>1013842375</v>
      </c>
      <c r="H8" s="599" t="s">
        <v>16</v>
      </c>
    </row>
    <row r="9" spans="2:8" x14ac:dyDescent="0.3">
      <c r="B9" s="916" t="s">
        <v>13</v>
      </c>
      <c r="C9" s="603"/>
      <c r="D9" s="597">
        <f>SUM(D4:D8)</f>
        <v>105188000000</v>
      </c>
      <c r="E9" s="597">
        <f>SUM(E4:E8)</f>
        <v>96632199700</v>
      </c>
      <c r="F9" s="604">
        <f>AVERAGE(F4:F8)</f>
        <v>7.2000000000000008E-2</v>
      </c>
      <c r="G9" s="597">
        <f>SUM(G4:G8)</f>
        <v>6551207818.7529411</v>
      </c>
      <c r="H9" s="605">
        <f>G9/D9</f>
        <v>6.2280942871363092E-2</v>
      </c>
    </row>
    <row r="10" spans="2:8" x14ac:dyDescent="0.3">
      <c r="B10" s="916"/>
      <c r="C10" s="603"/>
      <c r="D10" s="597"/>
      <c r="E10" s="603"/>
      <c r="F10" s="606">
        <v>5.0000000000000001E-3</v>
      </c>
      <c r="G10" s="597">
        <f>F10*E9</f>
        <v>483160998.5</v>
      </c>
      <c r="H10" s="605"/>
    </row>
    <row r="11" spans="2:8" ht="17.5" thickBot="1" x14ac:dyDescent="0.65">
      <c r="B11" s="917"/>
      <c r="C11" s="607"/>
      <c r="D11" s="608"/>
      <c r="E11" s="607"/>
      <c r="F11" s="609"/>
      <c r="G11" s="611">
        <f>SUM(G9:G10)</f>
        <v>7034368817.2529411</v>
      </c>
      <c r="H11" s="610"/>
    </row>
    <row r="12" spans="2:8" ht="14.5" thickBot="1" x14ac:dyDescent="0.35"/>
    <row r="13" spans="2:8" x14ac:dyDescent="0.3">
      <c r="B13" s="546" t="s">
        <v>5</v>
      </c>
      <c r="C13" s="547" t="s">
        <v>98</v>
      </c>
      <c r="D13" s="548" t="s">
        <v>4</v>
      </c>
      <c r="E13" s="549" t="s">
        <v>93</v>
      </c>
      <c r="F13" s="550" t="s">
        <v>534</v>
      </c>
    </row>
    <row r="14" spans="2:8" x14ac:dyDescent="0.3">
      <c r="B14" s="551" t="s">
        <v>0</v>
      </c>
      <c r="C14" s="552">
        <v>1</v>
      </c>
      <c r="D14" s="553">
        <v>40000000000</v>
      </c>
      <c r="E14" s="8">
        <v>37676000000</v>
      </c>
      <c r="F14" s="554">
        <f>E14*6%</f>
        <v>2260560000</v>
      </c>
    </row>
    <row r="15" spans="2:8" x14ac:dyDescent="0.3">
      <c r="B15" s="555" t="s">
        <v>532</v>
      </c>
      <c r="C15" s="552">
        <v>0.7</v>
      </c>
      <c r="D15" s="556">
        <f>D14*C15</f>
        <v>28000000000</v>
      </c>
      <c r="E15" s="556">
        <f>C15*E14</f>
        <v>26373200000</v>
      </c>
      <c r="F15" s="557">
        <f>C15*F14</f>
        <v>1582392000</v>
      </c>
    </row>
    <row r="16" spans="2:8" ht="14.5" thickBot="1" x14ac:dyDescent="0.35">
      <c r="B16" s="558" t="s">
        <v>533</v>
      </c>
      <c r="C16" s="559">
        <v>0.3</v>
      </c>
      <c r="D16" s="560">
        <f>C16*D14</f>
        <v>12000000000</v>
      </c>
      <c r="E16" s="560">
        <f>C16*E14</f>
        <v>11302800000</v>
      </c>
      <c r="F16" s="561">
        <f>C16*F14</f>
        <v>678168000</v>
      </c>
    </row>
    <row r="17" spans="2:9" x14ac:dyDescent="0.3">
      <c r="B17" s="562" t="s">
        <v>1</v>
      </c>
      <c r="C17" s="552">
        <v>1</v>
      </c>
      <c r="D17" s="553">
        <v>12344000000</v>
      </c>
      <c r="E17" s="8">
        <v>11626813600</v>
      </c>
      <c r="F17" s="554">
        <f>E17*7.5%</f>
        <v>872011020</v>
      </c>
    </row>
    <row r="18" spans="2:9" x14ac:dyDescent="0.3">
      <c r="B18" s="563" t="s">
        <v>532</v>
      </c>
      <c r="C18" s="918" t="s">
        <v>536</v>
      </c>
      <c r="D18" s="918"/>
      <c r="E18" s="918"/>
      <c r="F18" s="919"/>
    </row>
    <row r="19" spans="2:9" x14ac:dyDescent="0.3">
      <c r="B19" s="563" t="s">
        <v>531</v>
      </c>
      <c r="C19" s="920"/>
      <c r="D19" s="920"/>
      <c r="E19" s="920"/>
      <c r="F19" s="921"/>
    </row>
    <row r="20" spans="2:9" x14ac:dyDescent="0.3">
      <c r="B20" s="563" t="s">
        <v>3</v>
      </c>
      <c r="C20" s="564">
        <v>1</v>
      </c>
      <c r="D20" s="565">
        <v>12344000000</v>
      </c>
      <c r="E20" s="565">
        <v>11626813600</v>
      </c>
      <c r="F20" s="566">
        <v>872011020</v>
      </c>
    </row>
    <row r="21" spans="2:9" x14ac:dyDescent="0.3">
      <c r="B21" s="563" t="s">
        <v>532</v>
      </c>
      <c r="C21" s="918" t="s">
        <v>536</v>
      </c>
      <c r="D21" s="918"/>
      <c r="E21" s="918"/>
      <c r="F21" s="919"/>
    </row>
    <row r="22" spans="2:9" x14ac:dyDescent="0.3">
      <c r="B22" s="563" t="s">
        <v>531</v>
      </c>
      <c r="C22" s="920"/>
      <c r="D22" s="920"/>
      <c r="E22" s="920"/>
      <c r="F22" s="921"/>
    </row>
    <row r="23" spans="2:9" x14ac:dyDescent="0.3">
      <c r="B23" s="562" t="s">
        <v>9</v>
      </c>
      <c r="C23" s="567">
        <v>1</v>
      </c>
      <c r="D23" s="545">
        <v>17045000000</v>
      </c>
      <c r="E23" s="8">
        <v>15425725000</v>
      </c>
      <c r="F23" s="566">
        <v>1539850313.2352941</v>
      </c>
    </row>
    <row r="24" spans="2:9" x14ac:dyDescent="0.3">
      <c r="B24" s="563" t="s">
        <v>532</v>
      </c>
      <c r="C24" s="918" t="s">
        <v>536</v>
      </c>
      <c r="D24" s="918"/>
      <c r="E24" s="918"/>
      <c r="F24" s="919"/>
    </row>
    <row r="25" spans="2:9" x14ac:dyDescent="0.3">
      <c r="B25" s="563" t="s">
        <v>531</v>
      </c>
      <c r="C25" s="920"/>
      <c r="D25" s="920"/>
      <c r="E25" s="920"/>
      <c r="F25" s="921"/>
    </row>
    <row r="26" spans="2:9" x14ac:dyDescent="0.3">
      <c r="B26" s="563" t="s">
        <v>15</v>
      </c>
      <c r="C26" s="568">
        <v>1</v>
      </c>
      <c r="D26" s="565">
        <v>23455000000</v>
      </c>
      <c r="E26" s="8">
        <v>20276847500</v>
      </c>
      <c r="F26" s="569">
        <f>E26*5%</f>
        <v>1013842375</v>
      </c>
    </row>
    <row r="27" spans="2:9" ht="23" x14ac:dyDescent="0.3">
      <c r="B27" s="570" t="s">
        <v>535</v>
      </c>
      <c r="C27" s="571">
        <v>0.8</v>
      </c>
      <c r="D27" s="572">
        <f>D26*C27</f>
        <v>18764000000</v>
      </c>
      <c r="E27" s="572">
        <f>E26*C27</f>
        <v>16221478000</v>
      </c>
      <c r="F27" s="569">
        <f>F26*80%</f>
        <v>811073900</v>
      </c>
    </row>
    <row r="28" spans="2:9" ht="14.5" thickBot="1" x14ac:dyDescent="0.35">
      <c r="B28" s="573" t="s">
        <v>531</v>
      </c>
      <c r="C28" s="574">
        <v>0.2</v>
      </c>
      <c r="D28" s="575">
        <f>C28*D26</f>
        <v>4691000000</v>
      </c>
      <c r="E28" s="576">
        <f>C28*E26</f>
        <v>4055369500</v>
      </c>
      <c r="F28" s="577">
        <f>F26*20%</f>
        <v>202768475</v>
      </c>
    </row>
    <row r="29" spans="2:9" ht="14.5" thickBot="1" x14ac:dyDescent="0.35"/>
    <row r="30" spans="2:9" x14ac:dyDescent="0.3">
      <c r="B30" s="617"/>
      <c r="C30" s="618"/>
      <c r="D30" s="618"/>
      <c r="E30" s="618"/>
      <c r="F30" s="618"/>
      <c r="G30" s="619" t="s">
        <v>8</v>
      </c>
      <c r="H30" s="912" t="s">
        <v>537</v>
      </c>
      <c r="I30" s="914" t="s">
        <v>538</v>
      </c>
    </row>
    <row r="31" spans="2:9" x14ac:dyDescent="0.3">
      <c r="B31" s="620" t="s">
        <v>444</v>
      </c>
      <c r="C31" s="621"/>
      <c r="D31" s="621"/>
      <c r="E31" s="621"/>
      <c r="F31" s="621"/>
      <c r="G31" s="621">
        <v>2375000000</v>
      </c>
      <c r="H31" s="913"/>
      <c r="I31" s="915"/>
    </row>
    <row r="32" spans="2:9" ht="42" x14ac:dyDescent="0.3">
      <c r="B32" s="622" t="s">
        <v>466</v>
      </c>
      <c r="C32" s="623" t="s">
        <v>468</v>
      </c>
      <c r="D32" s="624" t="s">
        <v>465</v>
      </c>
      <c r="E32" s="625"/>
      <c r="F32" s="625" t="s">
        <v>467</v>
      </c>
      <c r="G32" s="625">
        <v>800000000</v>
      </c>
      <c r="H32" s="625">
        <v>800000000</v>
      </c>
      <c r="I32" s="626"/>
    </row>
    <row r="33" spans="2:9" ht="31.5" x14ac:dyDescent="0.3">
      <c r="B33" s="622" t="s">
        <v>471</v>
      </c>
      <c r="C33" s="623" t="s">
        <v>472</v>
      </c>
      <c r="D33" s="627" t="s">
        <v>473</v>
      </c>
      <c r="E33" s="628"/>
      <c r="F33" s="623" t="s">
        <v>474</v>
      </c>
      <c r="G33" s="623">
        <v>1000000000</v>
      </c>
      <c r="H33" s="629"/>
      <c r="I33" s="626"/>
    </row>
    <row r="34" spans="2:9" x14ac:dyDescent="0.3">
      <c r="B34" s="622"/>
      <c r="C34" s="630" t="s">
        <v>539</v>
      </c>
      <c r="D34" s="627"/>
      <c r="E34" s="628"/>
      <c r="F34" s="623"/>
      <c r="G34" s="623">
        <v>300000000</v>
      </c>
      <c r="H34" s="623">
        <v>300000000</v>
      </c>
      <c r="I34" s="626"/>
    </row>
    <row r="35" spans="2:9" x14ac:dyDescent="0.3">
      <c r="B35" s="631"/>
      <c r="C35" s="632" t="s">
        <v>540</v>
      </c>
      <c r="D35" s="629"/>
      <c r="E35" s="629"/>
      <c r="F35" s="629"/>
      <c r="G35" s="628">
        <v>700000000</v>
      </c>
      <c r="H35" s="629"/>
      <c r="I35" s="633">
        <v>700000000</v>
      </c>
    </row>
    <row r="36" spans="2:9" ht="42" x14ac:dyDescent="0.3">
      <c r="B36" s="622" t="s">
        <v>445</v>
      </c>
      <c r="C36" s="623" t="s">
        <v>446</v>
      </c>
      <c r="D36" s="627" t="s">
        <v>469</v>
      </c>
      <c r="E36" s="628"/>
      <c r="F36" s="623" t="s">
        <v>543</v>
      </c>
      <c r="G36" s="623">
        <v>375000000</v>
      </c>
      <c r="H36" s="623">
        <v>375000000</v>
      </c>
      <c r="I36" s="626"/>
    </row>
    <row r="37" spans="2:9" x14ac:dyDescent="0.3">
      <c r="B37" s="622"/>
      <c r="C37" s="623" t="s">
        <v>542</v>
      </c>
      <c r="D37" s="627"/>
      <c r="E37" s="628"/>
      <c r="F37" s="623"/>
      <c r="G37" s="922">
        <f>2500000*50*3</f>
        <v>375000000</v>
      </c>
      <c r="H37" s="923"/>
      <c r="I37" s="626"/>
    </row>
    <row r="38" spans="2:9" x14ac:dyDescent="0.3">
      <c r="B38" s="631"/>
      <c r="C38" s="632" t="s">
        <v>541</v>
      </c>
      <c r="D38" s="629"/>
      <c r="E38" s="629"/>
      <c r="F38" s="629"/>
      <c r="G38" s="922"/>
      <c r="H38" s="923"/>
      <c r="I38" s="626"/>
    </row>
    <row r="39" spans="2:9" x14ac:dyDescent="0.3">
      <c r="B39" s="634" t="s">
        <v>448</v>
      </c>
      <c r="C39" s="623" t="s">
        <v>449</v>
      </c>
      <c r="D39" s="635" t="s">
        <v>450</v>
      </c>
      <c r="E39" s="628"/>
      <c r="F39" s="628" t="s">
        <v>451</v>
      </c>
      <c r="G39" s="628">
        <v>200000000</v>
      </c>
      <c r="H39" s="628">
        <v>200000000</v>
      </c>
      <c r="I39" s="626"/>
    </row>
    <row r="40" spans="2:9" x14ac:dyDescent="0.3">
      <c r="B40" s="620" t="s">
        <v>470</v>
      </c>
      <c r="C40" s="531"/>
      <c r="D40" s="636"/>
      <c r="E40" s="636"/>
      <c r="F40" s="636"/>
      <c r="G40" s="636">
        <v>3588296808.3727894</v>
      </c>
      <c r="H40" s="629"/>
      <c r="I40" s="626"/>
    </row>
    <row r="41" spans="2:9" x14ac:dyDescent="0.3">
      <c r="B41" s="634" t="s">
        <v>475</v>
      </c>
      <c r="C41" s="623" t="s">
        <v>476</v>
      </c>
      <c r="D41" s="628" t="s">
        <v>478</v>
      </c>
      <c r="E41" s="637">
        <v>15000</v>
      </c>
      <c r="F41" s="628"/>
      <c r="G41" s="628">
        <v>350000000</v>
      </c>
      <c r="H41" s="628">
        <v>350000000</v>
      </c>
      <c r="I41" s="626"/>
    </row>
    <row r="42" spans="2:9" ht="23.5" x14ac:dyDescent="0.3">
      <c r="B42" s="634"/>
      <c r="C42" s="623" t="s">
        <v>477</v>
      </c>
      <c r="D42" s="628" t="s">
        <v>479</v>
      </c>
      <c r="E42" s="637">
        <v>15000</v>
      </c>
      <c r="F42" s="628"/>
      <c r="G42" s="628">
        <v>350000000</v>
      </c>
      <c r="H42" s="628">
        <v>350000000</v>
      </c>
      <c r="I42" s="626"/>
    </row>
    <row r="43" spans="2:9" x14ac:dyDescent="0.3">
      <c r="B43" s="634"/>
      <c r="C43" s="632" t="s">
        <v>544</v>
      </c>
      <c r="D43" s="638">
        <v>15000</v>
      </c>
      <c r="E43" s="638">
        <v>15000</v>
      </c>
      <c r="F43" s="639" t="s">
        <v>545</v>
      </c>
      <c r="G43" s="628">
        <f>E43*D43</f>
        <v>225000000</v>
      </c>
      <c r="H43" s="629"/>
      <c r="I43" s="633">
        <v>225000000</v>
      </c>
    </row>
    <row r="44" spans="2:9" ht="23" x14ac:dyDescent="0.3">
      <c r="B44" s="634" t="s">
        <v>480</v>
      </c>
      <c r="C44" s="623" t="s">
        <v>481</v>
      </c>
      <c r="D44" s="628">
        <v>6000</v>
      </c>
      <c r="E44" s="637">
        <v>41229.835460992908</v>
      </c>
      <c r="F44" s="628"/>
      <c r="G44" s="628">
        <v>247379012.76595744</v>
      </c>
      <c r="H44" s="629"/>
      <c r="I44" s="640">
        <v>247379012.76595744</v>
      </c>
    </row>
    <row r="45" spans="2:9" ht="23" x14ac:dyDescent="0.3">
      <c r="B45" s="634"/>
      <c r="C45" s="623" t="s">
        <v>482</v>
      </c>
      <c r="D45" s="628">
        <v>6000</v>
      </c>
      <c r="E45" s="637">
        <v>67068.369565217392</v>
      </c>
      <c r="F45" s="628"/>
      <c r="G45" s="628">
        <v>402410217.39130437</v>
      </c>
      <c r="H45" s="629"/>
      <c r="I45" s="641">
        <v>402410217.39130437</v>
      </c>
    </row>
    <row r="46" spans="2:9" x14ac:dyDescent="0.3">
      <c r="B46" s="634"/>
      <c r="C46" s="623" t="s">
        <v>486</v>
      </c>
      <c r="D46" s="628">
        <v>3000</v>
      </c>
      <c r="E46" s="637">
        <v>109142.52607184241</v>
      </c>
      <c r="F46" s="628"/>
      <c r="G46" s="628">
        <v>327427578.21552724</v>
      </c>
      <c r="H46" s="629"/>
      <c r="I46" s="641">
        <v>327427578.21552724</v>
      </c>
    </row>
    <row r="47" spans="2:9" x14ac:dyDescent="0.3">
      <c r="B47" s="634"/>
      <c r="C47" s="623" t="s">
        <v>485</v>
      </c>
      <c r="D47" s="628">
        <v>6000</v>
      </c>
      <c r="E47" s="637">
        <v>46800</v>
      </c>
      <c r="F47" s="628"/>
      <c r="G47" s="628">
        <v>280800000</v>
      </c>
      <c r="H47" s="629"/>
      <c r="I47" s="641">
        <v>280800000</v>
      </c>
    </row>
    <row r="48" spans="2:9" x14ac:dyDescent="0.3">
      <c r="B48" s="634" t="s">
        <v>76</v>
      </c>
      <c r="C48" s="623" t="s">
        <v>488</v>
      </c>
      <c r="D48" s="628">
        <v>100</v>
      </c>
      <c r="E48" s="637">
        <v>5000000</v>
      </c>
      <c r="F48" s="628"/>
      <c r="G48" s="628">
        <v>500000000</v>
      </c>
      <c r="H48" s="628">
        <v>500000000</v>
      </c>
      <c r="I48" s="633"/>
    </row>
    <row r="49" spans="2:11" x14ac:dyDescent="0.3">
      <c r="B49" s="634" t="s">
        <v>530</v>
      </c>
      <c r="C49" s="623" t="s">
        <v>483</v>
      </c>
      <c r="D49" s="642">
        <v>0.03</v>
      </c>
      <c r="E49" s="643">
        <v>0.03</v>
      </c>
      <c r="F49" s="628"/>
      <c r="G49" s="628">
        <v>1130280000</v>
      </c>
      <c r="H49" s="629"/>
      <c r="I49" s="644">
        <v>1130280000</v>
      </c>
    </row>
    <row r="50" spans="2:11" x14ac:dyDescent="0.3">
      <c r="B50" s="645" t="s">
        <v>529</v>
      </c>
      <c r="C50" s="623"/>
      <c r="D50" s="628"/>
      <c r="E50" s="628"/>
      <c r="F50" s="628"/>
      <c r="G50" s="628">
        <v>779324970.92721081</v>
      </c>
      <c r="H50" s="924">
        <f>SUM(H32:H49)</f>
        <v>2875000000</v>
      </c>
      <c r="I50" s="911">
        <f>SUM(I32:I49)</f>
        <v>3313296808.3727894</v>
      </c>
    </row>
    <row r="51" spans="2:11" x14ac:dyDescent="0.3">
      <c r="B51" s="631" t="s">
        <v>487</v>
      </c>
      <c r="C51" s="629"/>
      <c r="D51" s="629"/>
      <c r="E51" s="629"/>
      <c r="F51" s="629"/>
      <c r="G51" s="646">
        <f>G11-SUM(G31,G40,G50)</f>
        <v>291747037.95294094</v>
      </c>
      <c r="H51" s="913"/>
      <c r="I51" s="911"/>
    </row>
    <row r="52" spans="2:11" ht="14.5" thickBot="1" x14ac:dyDescent="0.35">
      <c r="B52" s="647"/>
      <c r="C52" s="648"/>
      <c r="D52" s="648"/>
      <c r="E52" s="648"/>
      <c r="F52" s="648"/>
      <c r="G52" s="649" t="s">
        <v>546</v>
      </c>
      <c r="H52" s="650">
        <v>348006.69781783677</v>
      </c>
      <c r="I52" s="651"/>
    </row>
    <row r="53" spans="2:11" x14ac:dyDescent="0.3">
      <c r="B53" s="580"/>
      <c r="C53" s="581" t="s">
        <v>547</v>
      </c>
      <c r="D53" s="612"/>
      <c r="E53" s="612"/>
      <c r="F53" s="612"/>
      <c r="G53" s="612" t="s">
        <v>551</v>
      </c>
      <c r="H53" s="652"/>
      <c r="I53" s="653"/>
    </row>
    <row r="54" spans="2:11" x14ac:dyDescent="0.3">
      <c r="B54" s="563" t="s">
        <v>383</v>
      </c>
      <c r="C54" s="582">
        <v>317778.82352941175</v>
      </c>
      <c r="H54" s="654"/>
      <c r="I54" s="613"/>
    </row>
    <row r="55" spans="2:11" x14ac:dyDescent="0.3">
      <c r="B55" s="563" t="s">
        <v>48</v>
      </c>
      <c r="C55" s="566">
        <v>421870.96774193546</v>
      </c>
      <c r="I55" s="613"/>
    </row>
    <row r="56" spans="2:11" x14ac:dyDescent="0.3">
      <c r="B56" s="563" t="s">
        <v>548</v>
      </c>
      <c r="C56" s="566">
        <v>332377</v>
      </c>
      <c r="G56" s="655" t="s">
        <v>556</v>
      </c>
      <c r="H56" s="565">
        <v>2875000000</v>
      </c>
      <c r="I56" s="656">
        <v>7.4999999999999997E-2</v>
      </c>
      <c r="K56" s="578"/>
    </row>
    <row r="57" spans="2:11" x14ac:dyDescent="0.3">
      <c r="B57" s="563" t="s">
        <v>549</v>
      </c>
      <c r="C57" s="566">
        <v>320000</v>
      </c>
      <c r="H57" s="579">
        <f>I57*H56/I56</f>
        <v>38333333333.333336</v>
      </c>
      <c r="I57" s="657">
        <v>1</v>
      </c>
    </row>
    <row r="58" spans="2:11" ht="14.5" thickBot="1" x14ac:dyDescent="0.35">
      <c r="B58" s="583" t="s">
        <v>550</v>
      </c>
      <c r="C58" s="577">
        <f>AVERAGE(C54:C57)</f>
        <v>348006.69781783677</v>
      </c>
      <c r="D58" s="614"/>
      <c r="E58" s="614"/>
      <c r="F58" s="614"/>
      <c r="G58" s="614" t="s">
        <v>557</v>
      </c>
      <c r="H58" s="615">
        <f>H57/H52</f>
        <v>110151.13666978566</v>
      </c>
      <c r="I58" s="616"/>
    </row>
    <row r="61" spans="2:11" x14ac:dyDescent="0.3">
      <c r="C61" s="584"/>
    </row>
    <row r="62" spans="2:11" x14ac:dyDescent="0.3">
      <c r="C62" s="579"/>
    </row>
  </sheetData>
  <mergeCells count="10">
    <mergeCell ref="I50:I51"/>
    <mergeCell ref="H30:H31"/>
    <mergeCell ref="I30:I31"/>
    <mergeCell ref="B9:B11"/>
    <mergeCell ref="C18:F19"/>
    <mergeCell ref="C21:F22"/>
    <mergeCell ref="C24:F25"/>
    <mergeCell ref="G37:G38"/>
    <mergeCell ref="H37:H38"/>
    <mergeCell ref="H50:H51"/>
  </mergeCells>
  <pageMargins left="0.7" right="0.7" top="0.75" bottom="0.75" header="0.3" footer="0.3"/>
  <ignoredErrors>
    <ignoredError sqref="F9"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F70A7-5B67-44EC-BFD1-F81A366E4063}">
  <sheetPr>
    <tabColor theme="8"/>
  </sheetPr>
  <dimension ref="B1:P26"/>
  <sheetViews>
    <sheetView zoomScale="78" zoomScaleNormal="78" workbookViewId="0">
      <selection sqref="A1:XFD1048576"/>
    </sheetView>
  </sheetViews>
  <sheetFormatPr defaultColWidth="8.90625" defaultRowHeight="13" x14ac:dyDescent="0.3"/>
  <cols>
    <col min="1" max="1" width="5.54296875" style="183" customWidth="1"/>
    <col min="2" max="2" width="8.90625" style="183"/>
    <col min="3" max="3" width="43" style="691" customWidth="1"/>
    <col min="4" max="4" width="35.08984375" style="183" bestFit="1" customWidth="1"/>
    <col min="5" max="5" width="27.6328125" style="183" customWidth="1"/>
    <col min="6" max="6" width="16" style="183" bestFit="1" customWidth="1"/>
    <col min="7" max="7" width="8.90625" style="183"/>
    <col min="8" max="8" width="12.453125" style="183" bestFit="1" customWidth="1"/>
    <col min="9" max="9" width="8.90625" style="183"/>
    <col min="10" max="10" width="13.54296875" style="183" bestFit="1" customWidth="1"/>
    <col min="11" max="11" width="8.90625" style="183"/>
    <col min="12" max="12" width="13.6328125" style="183" customWidth="1"/>
    <col min="13" max="13" width="8.90625" style="183"/>
    <col min="14" max="14" width="14.453125" style="183" customWidth="1"/>
    <col min="15" max="15" width="8.90625" style="183"/>
    <col min="16" max="16" width="14.90625" style="183" customWidth="1"/>
    <col min="17" max="16384" width="8.90625" style="183"/>
  </cols>
  <sheetData>
    <row r="1" spans="2:16" ht="13.5" thickBot="1" x14ac:dyDescent="0.35"/>
    <row r="2" spans="2:16" ht="26.25" customHeight="1" x14ac:dyDescent="0.3">
      <c r="B2" s="925" t="s">
        <v>502</v>
      </c>
      <c r="C2" s="933" t="s">
        <v>503</v>
      </c>
      <c r="D2" s="928" t="s">
        <v>504</v>
      </c>
      <c r="E2" s="928" t="s">
        <v>8</v>
      </c>
      <c r="F2" s="928" t="s">
        <v>380</v>
      </c>
      <c r="G2" s="927" t="s">
        <v>505</v>
      </c>
      <c r="H2" s="927"/>
      <c r="I2" s="927" t="s">
        <v>508</v>
      </c>
      <c r="J2" s="927"/>
      <c r="K2" s="927" t="s">
        <v>509</v>
      </c>
      <c r="L2" s="927"/>
      <c r="M2" s="927" t="s">
        <v>510</v>
      </c>
      <c r="N2" s="927"/>
      <c r="O2" s="927" t="s">
        <v>511</v>
      </c>
      <c r="P2" s="932"/>
    </row>
    <row r="3" spans="2:16" ht="21.75" customHeight="1" x14ac:dyDescent="0.3">
      <c r="B3" s="926"/>
      <c r="C3" s="934"/>
      <c r="D3" s="929"/>
      <c r="E3" s="929"/>
      <c r="F3" s="929"/>
      <c r="G3" s="695" t="s">
        <v>506</v>
      </c>
      <c r="H3" s="695" t="s">
        <v>507</v>
      </c>
      <c r="I3" s="695" t="s">
        <v>506</v>
      </c>
      <c r="J3" s="695" t="s">
        <v>507</v>
      </c>
      <c r="K3" s="695" t="s">
        <v>506</v>
      </c>
      <c r="L3" s="695" t="s">
        <v>507</v>
      </c>
      <c r="M3" s="695" t="s">
        <v>506</v>
      </c>
      <c r="N3" s="695" t="s">
        <v>507</v>
      </c>
      <c r="O3" s="695" t="s">
        <v>506</v>
      </c>
      <c r="P3" s="696" t="s">
        <v>507</v>
      </c>
    </row>
    <row r="4" spans="2:16" x14ac:dyDescent="0.3">
      <c r="B4" s="594">
        <v>1</v>
      </c>
      <c r="C4" s="692" t="s">
        <v>512</v>
      </c>
      <c r="D4" s="595"/>
      <c r="E4" s="661">
        <v>925000000</v>
      </c>
      <c r="F4" s="662">
        <f>SUM(F5:F6)</f>
        <v>54000000</v>
      </c>
      <c r="G4" s="598"/>
      <c r="H4" s="595"/>
      <c r="I4" s="595"/>
      <c r="J4" s="595"/>
      <c r="K4" s="595"/>
      <c r="L4" s="595"/>
      <c r="M4" s="595"/>
      <c r="N4" s="595"/>
      <c r="O4" s="595"/>
      <c r="P4" s="663"/>
    </row>
    <row r="5" spans="2:16" x14ac:dyDescent="0.3">
      <c r="B5" s="594">
        <v>1.1000000000000001</v>
      </c>
      <c r="C5" s="692" t="s">
        <v>517</v>
      </c>
      <c r="D5" s="595" t="s">
        <v>518</v>
      </c>
      <c r="E5" s="595"/>
      <c r="F5" s="661">
        <f>20*15000*90</f>
        <v>27000000</v>
      </c>
      <c r="G5" s="664">
        <v>0.8</v>
      </c>
      <c r="H5" s="662">
        <f>G5*F5</f>
        <v>21600000</v>
      </c>
      <c r="I5" s="665">
        <v>0.7</v>
      </c>
      <c r="J5" s="662">
        <f>I5*H5</f>
        <v>15119999.999999998</v>
      </c>
      <c r="K5" s="598">
        <v>0.45</v>
      </c>
      <c r="L5" s="662">
        <f>K5*J5</f>
        <v>6803999.9999999991</v>
      </c>
      <c r="M5" s="666">
        <f>30%</f>
        <v>0.3</v>
      </c>
      <c r="N5" s="662">
        <f>M5*L5</f>
        <v>2041199.9999999995</v>
      </c>
      <c r="O5" s="598">
        <v>0.15</v>
      </c>
      <c r="P5" s="667">
        <f>O5*N5</f>
        <v>306179.99999999994</v>
      </c>
    </row>
    <row r="6" spans="2:16" x14ac:dyDescent="0.3">
      <c r="B6" s="594">
        <v>1.2</v>
      </c>
      <c r="C6" s="692" t="s">
        <v>517</v>
      </c>
      <c r="D6" s="595" t="s">
        <v>519</v>
      </c>
      <c r="E6" s="595"/>
      <c r="F6" s="661">
        <f>20*15000*90</f>
        <v>27000000</v>
      </c>
      <c r="G6" s="664">
        <v>0.8</v>
      </c>
      <c r="H6" s="662">
        <f>G6*F6</f>
        <v>21600000</v>
      </c>
      <c r="I6" s="665">
        <v>0.7</v>
      </c>
      <c r="J6" s="662">
        <f>I6*H6</f>
        <v>15119999.999999998</v>
      </c>
      <c r="K6" s="598">
        <v>0.45</v>
      </c>
      <c r="L6" s="662">
        <f>K6*J6</f>
        <v>6803999.9999999991</v>
      </c>
      <c r="M6" s="666">
        <f>30%</f>
        <v>0.3</v>
      </c>
      <c r="N6" s="662">
        <f>M6*L6</f>
        <v>2041199.9999999995</v>
      </c>
      <c r="O6" s="598">
        <v>0.15</v>
      </c>
      <c r="P6" s="667">
        <f>O6*N6</f>
        <v>306179.99999999994</v>
      </c>
    </row>
    <row r="7" spans="2:16" x14ac:dyDescent="0.3">
      <c r="B7" s="594">
        <v>2</v>
      </c>
      <c r="C7" s="692" t="s">
        <v>513</v>
      </c>
      <c r="D7" s="595"/>
      <c r="E7" s="661">
        <v>500000000</v>
      </c>
      <c r="F7" s="661">
        <v>50000</v>
      </c>
      <c r="G7" s="668"/>
      <c r="H7" s="595"/>
      <c r="I7" s="659"/>
      <c r="J7" s="595"/>
      <c r="K7" s="595"/>
      <c r="L7" s="595"/>
      <c r="M7" s="595"/>
      <c r="N7" s="595"/>
      <c r="O7" s="595"/>
      <c r="P7" s="663"/>
    </row>
    <row r="8" spans="2:16" x14ac:dyDescent="0.3">
      <c r="B8" s="594">
        <v>2.1</v>
      </c>
      <c r="C8" s="692" t="s">
        <v>520</v>
      </c>
      <c r="D8" s="595" t="s">
        <v>522</v>
      </c>
      <c r="E8" s="595"/>
      <c r="F8" s="661">
        <f>100*500</f>
        <v>50000</v>
      </c>
      <c r="G8" s="664">
        <v>0.75</v>
      </c>
      <c r="H8" s="662">
        <f>G8*F8</f>
        <v>37500</v>
      </c>
      <c r="I8" s="665">
        <v>0.5</v>
      </c>
      <c r="J8" s="662">
        <f>I8*H8</f>
        <v>18750</v>
      </c>
      <c r="K8" s="598">
        <v>0.35</v>
      </c>
      <c r="L8" s="662">
        <f>K8*J8</f>
        <v>6562.5</v>
      </c>
      <c r="M8" s="598">
        <v>0.25</v>
      </c>
      <c r="N8" s="669">
        <f>M8*L8</f>
        <v>1640.625</v>
      </c>
      <c r="O8" s="598">
        <v>0.05</v>
      </c>
      <c r="P8" s="670">
        <f>O8*N8</f>
        <v>82.03125</v>
      </c>
    </row>
    <row r="9" spans="2:16" x14ac:dyDescent="0.3">
      <c r="B9" s="594">
        <v>3</v>
      </c>
      <c r="C9" s="692" t="s">
        <v>514</v>
      </c>
      <c r="D9" s="595"/>
      <c r="E9" s="661">
        <v>1130280000</v>
      </c>
      <c r="F9" s="661">
        <f>15000*8</f>
        <v>120000</v>
      </c>
      <c r="G9" s="668"/>
      <c r="H9" s="595"/>
      <c r="I9" s="659"/>
      <c r="J9" s="595"/>
      <c r="K9" s="595"/>
      <c r="L9" s="595"/>
      <c r="M9" s="595"/>
      <c r="N9" s="595"/>
      <c r="O9" s="595"/>
      <c r="P9" s="663"/>
    </row>
    <row r="10" spans="2:16" x14ac:dyDescent="0.3">
      <c r="B10" s="594">
        <v>3.1</v>
      </c>
      <c r="C10" s="692" t="s">
        <v>521</v>
      </c>
      <c r="D10" s="595" t="s">
        <v>524</v>
      </c>
      <c r="E10" s="595"/>
      <c r="F10" s="661">
        <f>15000*8</f>
        <v>120000</v>
      </c>
      <c r="G10" s="664">
        <v>0.75</v>
      </c>
      <c r="H10" s="662">
        <f>G10*F10</f>
        <v>90000</v>
      </c>
      <c r="I10" s="665">
        <v>0.5</v>
      </c>
      <c r="J10" s="662">
        <f>I10*H10</f>
        <v>45000</v>
      </c>
      <c r="K10" s="598">
        <v>0.35</v>
      </c>
      <c r="L10" s="662">
        <f>K10*J10</f>
        <v>15749.999999999998</v>
      </c>
      <c r="M10" s="598">
        <v>0.25</v>
      </c>
      <c r="N10" s="662">
        <f>M10*L10</f>
        <v>3937.4999999999995</v>
      </c>
      <c r="O10" s="598">
        <v>0.04</v>
      </c>
      <c r="P10" s="667">
        <f>O10*N10</f>
        <v>157.49999999999997</v>
      </c>
    </row>
    <row r="11" spans="2:16" x14ac:dyDescent="0.3">
      <c r="B11" s="594">
        <v>4</v>
      </c>
      <c r="C11" s="692" t="s">
        <v>515</v>
      </c>
      <c r="D11" s="595"/>
      <c r="E11" s="661">
        <v>1258050000</v>
      </c>
      <c r="F11" s="662">
        <f>SUM(F12:F15)</f>
        <v>114240000</v>
      </c>
      <c r="G11" s="595"/>
      <c r="H11" s="595"/>
      <c r="I11" s="595"/>
      <c r="J11" s="595"/>
      <c r="K11" s="595"/>
      <c r="L11" s="595"/>
      <c r="M11" s="595"/>
      <c r="N11" s="595"/>
      <c r="O11" s="595"/>
      <c r="P11" s="663"/>
    </row>
    <row r="12" spans="2:16" x14ac:dyDescent="0.3">
      <c r="B12" s="671">
        <v>4.0999999999999996</v>
      </c>
      <c r="C12" s="356" t="s">
        <v>481</v>
      </c>
      <c r="D12" s="672" t="s">
        <v>524</v>
      </c>
      <c r="E12" s="672"/>
      <c r="F12" s="673">
        <f>28560000</f>
        <v>28560000</v>
      </c>
      <c r="G12" s="664">
        <v>0.95</v>
      </c>
      <c r="H12" s="674">
        <f>G12*F12</f>
        <v>27132000</v>
      </c>
      <c r="I12" s="664">
        <v>0.8</v>
      </c>
      <c r="J12" s="662">
        <f>I12*H12</f>
        <v>21705600</v>
      </c>
      <c r="K12" s="598">
        <v>0.65</v>
      </c>
      <c r="L12" s="662">
        <f>K12*J12</f>
        <v>14108640</v>
      </c>
      <c r="M12" s="666">
        <f>50%</f>
        <v>0.5</v>
      </c>
      <c r="N12" s="662">
        <f>M12*L12</f>
        <v>7054320</v>
      </c>
      <c r="O12" s="598">
        <v>0.35</v>
      </c>
      <c r="P12" s="667">
        <f>O12*N12</f>
        <v>2469012</v>
      </c>
    </row>
    <row r="13" spans="2:16" x14ac:dyDescent="0.3">
      <c r="B13" s="671">
        <v>4.2</v>
      </c>
      <c r="C13" s="356" t="s">
        <v>482</v>
      </c>
      <c r="D13" s="672" t="s">
        <v>525</v>
      </c>
      <c r="E13" s="672"/>
      <c r="F13" s="673">
        <f t="shared" ref="F13:F15" si="0">28560000</f>
        <v>28560000</v>
      </c>
      <c r="G13" s="664">
        <v>0.95</v>
      </c>
      <c r="H13" s="674">
        <f t="shared" ref="H13:H15" si="1">G13*F13</f>
        <v>27132000</v>
      </c>
      <c r="I13" s="664">
        <v>0.8</v>
      </c>
      <c r="J13" s="662">
        <f t="shared" ref="J13:J15" si="2">I13*H13</f>
        <v>21705600</v>
      </c>
      <c r="K13" s="598">
        <v>0.65</v>
      </c>
      <c r="L13" s="662">
        <f t="shared" ref="L13:L15" si="3">K13*J13</f>
        <v>14108640</v>
      </c>
      <c r="M13" s="666">
        <f>50%</f>
        <v>0.5</v>
      </c>
      <c r="N13" s="662">
        <f t="shared" ref="N13:N15" si="4">M13*L13</f>
        <v>7054320</v>
      </c>
      <c r="O13" s="598">
        <v>0.35</v>
      </c>
      <c r="P13" s="667">
        <f t="shared" ref="P13:P15" si="5">O13*N13</f>
        <v>2469012</v>
      </c>
    </row>
    <row r="14" spans="2:16" x14ac:dyDescent="0.3">
      <c r="B14" s="671">
        <v>4.3</v>
      </c>
      <c r="C14" s="356" t="s">
        <v>486</v>
      </c>
      <c r="D14" s="672" t="s">
        <v>526</v>
      </c>
      <c r="E14" s="672"/>
      <c r="F14" s="673">
        <f t="shared" si="0"/>
        <v>28560000</v>
      </c>
      <c r="G14" s="664">
        <v>0.95</v>
      </c>
      <c r="H14" s="674">
        <f t="shared" si="1"/>
        <v>27132000</v>
      </c>
      <c r="I14" s="664">
        <v>0.8</v>
      </c>
      <c r="J14" s="662">
        <f t="shared" si="2"/>
        <v>21705600</v>
      </c>
      <c r="K14" s="598">
        <v>0.65</v>
      </c>
      <c r="L14" s="662">
        <f t="shared" si="3"/>
        <v>14108640</v>
      </c>
      <c r="M14" s="666">
        <f>50%</f>
        <v>0.5</v>
      </c>
      <c r="N14" s="662">
        <f t="shared" si="4"/>
        <v>7054320</v>
      </c>
      <c r="O14" s="598">
        <v>0.35</v>
      </c>
      <c r="P14" s="667">
        <f t="shared" si="5"/>
        <v>2469012</v>
      </c>
    </row>
    <row r="15" spans="2:16" x14ac:dyDescent="0.3">
      <c r="B15" s="671">
        <v>4.4000000000000004</v>
      </c>
      <c r="C15" s="356" t="s">
        <v>485</v>
      </c>
      <c r="D15" s="672" t="s">
        <v>527</v>
      </c>
      <c r="E15" s="672"/>
      <c r="F15" s="673">
        <f t="shared" si="0"/>
        <v>28560000</v>
      </c>
      <c r="G15" s="664">
        <v>0.95</v>
      </c>
      <c r="H15" s="674">
        <f t="shared" si="1"/>
        <v>27132000</v>
      </c>
      <c r="I15" s="664">
        <v>0.8</v>
      </c>
      <c r="J15" s="662">
        <f t="shared" si="2"/>
        <v>21705600</v>
      </c>
      <c r="K15" s="598">
        <v>0.65</v>
      </c>
      <c r="L15" s="662">
        <f t="shared" si="3"/>
        <v>14108640</v>
      </c>
      <c r="M15" s="666">
        <f>50%</f>
        <v>0.5</v>
      </c>
      <c r="N15" s="662">
        <f t="shared" si="4"/>
        <v>7054320</v>
      </c>
      <c r="O15" s="598">
        <v>0.35</v>
      </c>
      <c r="P15" s="667">
        <f t="shared" si="5"/>
        <v>2469012</v>
      </c>
    </row>
    <row r="16" spans="2:16" x14ac:dyDescent="0.3">
      <c r="B16" s="594">
        <v>5</v>
      </c>
      <c r="C16" s="692" t="s">
        <v>516</v>
      </c>
      <c r="D16" s="595"/>
      <c r="E16" s="662">
        <f>SUM(E17,E18,E19,E20)</f>
        <v>2375000000</v>
      </c>
      <c r="F16" s="662">
        <f>SUM(F17:F20)</f>
        <v>101027168.62172824</v>
      </c>
      <c r="G16" s="595"/>
      <c r="H16" s="595"/>
      <c r="I16" s="595"/>
      <c r="J16" s="595"/>
      <c r="K16" s="595"/>
      <c r="L16" s="595"/>
      <c r="M16" s="595"/>
      <c r="N16" s="595"/>
      <c r="O16" s="595"/>
      <c r="P16" s="663"/>
    </row>
    <row r="17" spans="2:16" ht="65.25" customHeight="1" x14ac:dyDescent="0.3">
      <c r="B17" s="671">
        <v>5.0999999999999996</v>
      </c>
      <c r="C17" s="356" t="s">
        <v>465</v>
      </c>
      <c r="D17" s="672"/>
      <c r="E17" s="675">
        <v>800000000</v>
      </c>
      <c r="F17" s="673">
        <v>31027168.621728241</v>
      </c>
      <c r="G17" s="664">
        <v>0.6</v>
      </c>
      <c r="H17" s="676">
        <f>G17*F17</f>
        <v>18616301.173036944</v>
      </c>
      <c r="I17" s="664">
        <v>0.55000000000000004</v>
      </c>
      <c r="J17" s="676">
        <f>I17*H17</f>
        <v>10238965.64517032</v>
      </c>
      <c r="K17" s="677">
        <v>0.5</v>
      </c>
      <c r="L17" s="678">
        <f>K17*J17</f>
        <v>5119482.8225851599</v>
      </c>
      <c r="M17" s="677">
        <v>0.35</v>
      </c>
      <c r="N17" s="679">
        <f>M17*L17</f>
        <v>1791818.9879048059</v>
      </c>
      <c r="O17" s="677">
        <v>0.2</v>
      </c>
      <c r="P17" s="711">
        <f>O17*N17</f>
        <v>358363.7975809612</v>
      </c>
    </row>
    <row r="18" spans="2:16" ht="60.75" customHeight="1" x14ac:dyDescent="0.3">
      <c r="B18" s="671">
        <v>5.2</v>
      </c>
      <c r="C18" s="356" t="s">
        <v>559</v>
      </c>
      <c r="D18" s="672"/>
      <c r="E18" s="681">
        <v>1000000000</v>
      </c>
      <c r="F18" s="596">
        <v>30000000</v>
      </c>
      <c r="G18" s="664">
        <v>0.6</v>
      </c>
      <c r="H18" s="676">
        <f t="shared" ref="H18:H20" si="6">G18*F18</f>
        <v>18000000</v>
      </c>
      <c r="I18" s="664">
        <v>0.55000000000000004</v>
      </c>
      <c r="J18" s="676">
        <f t="shared" ref="J18:J20" si="7">I18*H18</f>
        <v>9900000</v>
      </c>
      <c r="K18" s="677">
        <v>0.5</v>
      </c>
      <c r="L18" s="678">
        <f t="shared" ref="L18:L20" si="8">K18*J18</f>
        <v>4950000</v>
      </c>
      <c r="M18" s="677">
        <v>0.35</v>
      </c>
      <c r="N18" s="679">
        <f t="shared" ref="N18:N19" si="9">M18*L18</f>
        <v>1732500</v>
      </c>
      <c r="O18" s="677">
        <v>0.2</v>
      </c>
      <c r="P18" s="680">
        <f t="shared" ref="P18:P20" si="10">O18*N18</f>
        <v>346500</v>
      </c>
    </row>
    <row r="19" spans="2:16" ht="66" customHeight="1" x14ac:dyDescent="0.3">
      <c r="B19" s="671">
        <v>5.3</v>
      </c>
      <c r="C19" s="356" t="s">
        <v>523</v>
      </c>
      <c r="D19" s="672"/>
      <c r="E19" s="681">
        <v>375000000</v>
      </c>
      <c r="F19" s="673">
        <v>25000000</v>
      </c>
      <c r="G19" s="664">
        <v>0.6</v>
      </c>
      <c r="H19" s="676">
        <f t="shared" si="6"/>
        <v>15000000</v>
      </c>
      <c r="I19" s="664">
        <v>0.55000000000000004</v>
      </c>
      <c r="J19" s="676">
        <f t="shared" si="7"/>
        <v>8250000.0000000009</v>
      </c>
      <c r="K19" s="677">
        <v>0.5</v>
      </c>
      <c r="L19" s="678">
        <f t="shared" si="8"/>
        <v>4125000.0000000005</v>
      </c>
      <c r="M19" s="677">
        <v>0.35</v>
      </c>
      <c r="N19" s="679">
        <f t="shared" si="9"/>
        <v>1443750</v>
      </c>
      <c r="O19" s="677">
        <v>0.2</v>
      </c>
      <c r="P19" s="680">
        <f t="shared" si="10"/>
        <v>288750</v>
      </c>
    </row>
    <row r="20" spans="2:16" ht="23.25" customHeight="1" x14ac:dyDescent="0.3">
      <c r="B20" s="671">
        <v>5.4</v>
      </c>
      <c r="C20" s="356" t="s">
        <v>450</v>
      </c>
      <c r="D20" s="672"/>
      <c r="E20" s="682">
        <v>200000000</v>
      </c>
      <c r="F20" s="673">
        <v>15000000</v>
      </c>
      <c r="G20" s="664">
        <v>0.6</v>
      </c>
      <c r="H20" s="676">
        <f t="shared" si="6"/>
        <v>9000000</v>
      </c>
      <c r="I20" s="664">
        <v>0.55000000000000004</v>
      </c>
      <c r="J20" s="676">
        <f t="shared" si="7"/>
        <v>4950000</v>
      </c>
      <c r="K20" s="677">
        <v>0.5</v>
      </c>
      <c r="L20" s="678">
        <f t="shared" si="8"/>
        <v>2475000</v>
      </c>
      <c r="M20" s="677">
        <v>0.35</v>
      </c>
      <c r="N20" s="679">
        <f>M20*L20</f>
        <v>866250</v>
      </c>
      <c r="O20" s="677">
        <v>0.2</v>
      </c>
      <c r="P20" s="711">
        <f t="shared" si="10"/>
        <v>173250</v>
      </c>
    </row>
    <row r="21" spans="2:16" x14ac:dyDescent="0.3">
      <c r="B21" s="594">
        <v>6</v>
      </c>
      <c r="C21" s="692" t="s">
        <v>552</v>
      </c>
      <c r="D21" s="659" t="s">
        <v>553</v>
      </c>
      <c r="E21" s="683">
        <f>E22-SUM(E16,E11,E9,E7,E4)</f>
        <v>846038817.25294113</v>
      </c>
      <c r="F21" s="659"/>
      <c r="G21" s="659"/>
      <c r="H21" s="659"/>
      <c r="I21" s="659"/>
      <c r="J21" s="659"/>
      <c r="K21" s="659"/>
      <c r="L21" s="659"/>
      <c r="M21" s="659"/>
      <c r="N21" s="659"/>
      <c r="O21" s="659"/>
      <c r="P21" s="660"/>
    </row>
    <row r="22" spans="2:16" x14ac:dyDescent="0.3">
      <c r="B22" s="930" t="s">
        <v>13</v>
      </c>
      <c r="C22" s="931"/>
      <c r="D22" s="931"/>
      <c r="E22" s="661">
        <v>7034368817.2529411</v>
      </c>
      <c r="F22" s="662">
        <f>SUM(F16,F11,F9,F7,F4)</f>
        <v>269437168.62172824</v>
      </c>
      <c r="G22" s="595"/>
      <c r="H22" s="595"/>
      <c r="I22" s="595"/>
      <c r="J22" s="595"/>
      <c r="K22" s="595"/>
      <c r="L22" s="595"/>
      <c r="M22" s="595"/>
      <c r="N22" s="595"/>
      <c r="O22" s="595"/>
      <c r="P22" s="663"/>
    </row>
    <row r="23" spans="2:16" x14ac:dyDescent="0.3">
      <c r="B23" s="684"/>
      <c r="C23" s="693" t="s">
        <v>566</v>
      </c>
      <c r="D23" s="595"/>
      <c r="E23" s="685"/>
      <c r="F23" s="595"/>
      <c r="G23" s="595"/>
      <c r="H23" s="595"/>
      <c r="I23" s="595"/>
      <c r="J23" s="595"/>
      <c r="K23" s="595"/>
      <c r="L23" s="595"/>
      <c r="M23" s="595"/>
      <c r="N23" s="595"/>
      <c r="O23" s="595"/>
      <c r="P23" s="663"/>
    </row>
    <row r="24" spans="2:16" ht="51.75" customHeight="1" x14ac:dyDescent="0.3">
      <c r="B24" s="684"/>
      <c r="C24" s="693" t="s">
        <v>555</v>
      </c>
      <c r="D24" s="595"/>
      <c r="E24" s="686">
        <f>26</f>
        <v>26</v>
      </c>
      <c r="F24" s="595"/>
      <c r="G24" s="595"/>
      <c r="H24" s="595"/>
      <c r="I24" s="595"/>
      <c r="J24" s="595"/>
      <c r="K24" s="595"/>
      <c r="L24" s="595"/>
      <c r="M24" s="595"/>
      <c r="N24" s="595"/>
      <c r="O24" s="595"/>
      <c r="P24" s="663"/>
    </row>
    <row r="25" spans="2:16" ht="29.25" customHeight="1" thickBot="1" x14ac:dyDescent="0.35">
      <c r="B25" s="687"/>
      <c r="C25" s="694" t="s">
        <v>554</v>
      </c>
      <c r="D25" s="688"/>
      <c r="E25" s="689">
        <f>E22/SUM(P20,P19,P18,P17,P15,P14,P13,P12,P10,P8,P6,P5)</f>
        <v>603.52297027525458</v>
      </c>
      <c r="F25" s="688"/>
      <c r="G25" s="688"/>
      <c r="H25" s="688"/>
      <c r="I25" s="688"/>
      <c r="J25" s="688"/>
      <c r="K25" s="688"/>
      <c r="L25" s="688"/>
      <c r="M25" s="688"/>
      <c r="N25" s="688"/>
      <c r="O25" s="688"/>
      <c r="P25" s="690"/>
    </row>
    <row r="26" spans="2:16" x14ac:dyDescent="0.3">
      <c r="E26" s="658"/>
    </row>
  </sheetData>
  <mergeCells count="11">
    <mergeCell ref="K2:L2"/>
    <mergeCell ref="M2:N2"/>
    <mergeCell ref="O2:P2"/>
    <mergeCell ref="C2:C3"/>
    <mergeCell ref="D2:D3"/>
    <mergeCell ref="F2:F3"/>
    <mergeCell ref="B2:B3"/>
    <mergeCell ref="G2:H2"/>
    <mergeCell ref="E2:E3"/>
    <mergeCell ref="B22:D22"/>
    <mergeCell ref="I2: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1:U44"/>
  <sheetViews>
    <sheetView topLeftCell="A4" workbookViewId="0">
      <selection activeCell="F23" sqref="F23"/>
    </sheetView>
  </sheetViews>
  <sheetFormatPr defaultColWidth="9.08984375" defaultRowHeight="13" x14ac:dyDescent="0.3"/>
  <cols>
    <col min="1" max="1" width="4.54296875" style="18" customWidth="1"/>
    <col min="2" max="2" width="18.453125" style="18" customWidth="1"/>
    <col min="3" max="3" width="20" style="18" bestFit="1" customWidth="1"/>
    <col min="4" max="4" width="17.36328125" style="18" bestFit="1" customWidth="1"/>
    <col min="5" max="5" width="16.6328125" style="18" customWidth="1"/>
    <col min="6" max="6" width="13.54296875" style="18" bestFit="1" customWidth="1"/>
    <col min="7" max="7" width="16.90625" style="18" bestFit="1" customWidth="1"/>
    <col min="8" max="8" width="19.08984375" style="18" bestFit="1" customWidth="1"/>
    <col min="9" max="9" width="14" style="18" bestFit="1" customWidth="1"/>
    <col min="10" max="10" width="12.6328125" style="18" customWidth="1"/>
    <col min="11" max="11" width="20.453125" style="18" customWidth="1"/>
    <col min="12" max="12" width="15.6328125" style="18" bestFit="1" customWidth="1"/>
    <col min="13" max="13" width="17.36328125" style="18" bestFit="1" customWidth="1"/>
    <col min="14" max="14" width="16.36328125" style="18" customWidth="1"/>
    <col min="15" max="15" width="15.6328125" style="18" customWidth="1"/>
    <col min="16" max="16" width="16.6328125" style="18" customWidth="1"/>
    <col min="17" max="18" width="18.6328125" style="18" bestFit="1" customWidth="1"/>
    <col min="19" max="19" width="15.453125" style="18" customWidth="1"/>
    <col min="20" max="20" width="18.36328125" style="18" customWidth="1"/>
    <col min="21" max="21" width="14.6328125" style="18" bestFit="1" customWidth="1"/>
    <col min="22" max="16384" width="9.08984375" style="18"/>
  </cols>
  <sheetData>
    <row r="1" spans="2:21" x14ac:dyDescent="0.3">
      <c r="E1" s="38">
        <v>15425725000</v>
      </c>
      <c r="F1" s="39">
        <v>230000</v>
      </c>
      <c r="G1" s="39">
        <f>E1/F1</f>
        <v>67068.369565217392</v>
      </c>
    </row>
    <row r="2" spans="2:21" x14ac:dyDescent="0.3">
      <c r="E2" s="27">
        <v>11626813600</v>
      </c>
      <c r="F2" s="39">
        <v>282000</v>
      </c>
      <c r="G2" s="18">
        <f>4700*60</f>
        <v>282000</v>
      </c>
      <c r="H2" s="21">
        <f>E2/F2</f>
        <v>41229.835460992908</v>
      </c>
    </row>
    <row r="3" spans="2:21" x14ac:dyDescent="0.3">
      <c r="E3" s="38">
        <v>11626813600</v>
      </c>
      <c r="F3" s="39">
        <v>461800</v>
      </c>
      <c r="G3" s="40">
        <f>E3/F3</f>
        <v>25177.162407968819</v>
      </c>
      <c r="H3" s="41"/>
    </row>
    <row r="4" spans="2:21" x14ac:dyDescent="0.3">
      <c r="E4" s="38">
        <v>37676000000</v>
      </c>
      <c r="F4" s="22">
        <v>0.1</v>
      </c>
      <c r="G4" s="21">
        <f>E4*F4</f>
        <v>3767600000</v>
      </c>
      <c r="H4" s="22">
        <v>0.05</v>
      </c>
    </row>
    <row r="5" spans="2:21" ht="13.5" thickBot="1" x14ac:dyDescent="0.35">
      <c r="B5" s="14" t="s">
        <v>17</v>
      </c>
      <c r="C5" s="25"/>
      <c r="D5" s="25"/>
      <c r="U5" s="42">
        <v>5.0000000000000001E-3</v>
      </c>
    </row>
    <row r="6" spans="2:21" x14ac:dyDescent="0.3">
      <c r="B6" s="2" t="s">
        <v>6</v>
      </c>
      <c r="C6" s="3" t="s">
        <v>5</v>
      </c>
      <c r="D6" s="4" t="s">
        <v>4</v>
      </c>
      <c r="E6" s="24" t="s">
        <v>93</v>
      </c>
      <c r="F6" s="3" t="s">
        <v>7</v>
      </c>
      <c r="G6" s="3" t="s">
        <v>8</v>
      </c>
      <c r="H6" s="43" t="s">
        <v>10</v>
      </c>
      <c r="J6" s="935" t="s">
        <v>51</v>
      </c>
      <c r="K6" s="44" t="s">
        <v>49</v>
      </c>
      <c r="L6" s="45"/>
      <c r="M6" s="45"/>
      <c r="N6" s="44" t="s">
        <v>50</v>
      </c>
      <c r="O6" s="45"/>
      <c r="P6" s="46"/>
      <c r="Q6" s="937" t="s">
        <v>54</v>
      </c>
      <c r="R6" s="939" t="s">
        <v>53</v>
      </c>
      <c r="S6" s="47" t="s">
        <v>29</v>
      </c>
      <c r="T6" s="48"/>
      <c r="U6" s="49">
        <f>SUM(T12)</f>
        <v>692289104.68000007</v>
      </c>
    </row>
    <row r="7" spans="2:21" ht="13.5" thickBot="1" x14ac:dyDescent="0.35">
      <c r="B7" s="5">
        <v>1</v>
      </c>
      <c r="C7" s="6" t="s">
        <v>0</v>
      </c>
      <c r="D7" s="7">
        <v>40000000000</v>
      </c>
      <c r="E7" s="38">
        <v>37676000000</v>
      </c>
      <c r="F7" s="9">
        <v>0.06</v>
      </c>
      <c r="G7" s="50">
        <v>2256570776.4705882</v>
      </c>
      <c r="H7" s="51" t="s">
        <v>12</v>
      </c>
      <c r="J7" s="935"/>
      <c r="K7" s="52" t="s">
        <v>36</v>
      </c>
      <c r="L7" s="53" t="s">
        <v>37</v>
      </c>
      <c r="M7" s="53" t="s">
        <v>38</v>
      </c>
      <c r="N7" s="52" t="s">
        <v>36</v>
      </c>
      <c r="O7" s="53" t="s">
        <v>37</v>
      </c>
      <c r="P7" s="54" t="s">
        <v>38</v>
      </c>
      <c r="Q7" s="938"/>
      <c r="R7" s="940"/>
      <c r="S7" s="55" t="s">
        <v>30</v>
      </c>
      <c r="T7" s="56">
        <v>405536950</v>
      </c>
    </row>
    <row r="8" spans="2:21" x14ac:dyDescent="0.3">
      <c r="B8" s="5">
        <v>2</v>
      </c>
      <c r="C8" s="6" t="s">
        <v>1</v>
      </c>
      <c r="D8" s="7">
        <v>12344000000</v>
      </c>
      <c r="E8" s="38">
        <v>11626813600</v>
      </c>
      <c r="F8" s="10">
        <v>7.4999999999999997E-2</v>
      </c>
      <c r="G8" s="50">
        <v>870472177.02352929</v>
      </c>
      <c r="H8" s="51" t="s">
        <v>11</v>
      </c>
      <c r="J8" s="14" t="s">
        <v>45</v>
      </c>
      <c r="K8" s="57">
        <v>232704705.88235292</v>
      </c>
      <c r="L8" s="57">
        <v>1097036470.5882354</v>
      </c>
      <c r="M8" s="58">
        <v>926829600</v>
      </c>
      <c r="N8" s="57">
        <v>407206911.34164411</v>
      </c>
      <c r="O8" s="59">
        <v>1155537470.1420975</v>
      </c>
      <c r="P8" s="59">
        <v>697815618.51625848</v>
      </c>
      <c r="Q8" s="60">
        <f>SUM(K8:M8)</f>
        <v>2256570776.4705882</v>
      </c>
      <c r="R8" s="59">
        <f>SUM(N8:P8)</f>
        <v>2260560000</v>
      </c>
      <c r="S8" s="55" t="s">
        <v>31</v>
      </c>
      <c r="T8" s="56">
        <v>146497849.68000001</v>
      </c>
    </row>
    <row r="9" spans="2:21" x14ac:dyDescent="0.3">
      <c r="B9" s="5">
        <v>3</v>
      </c>
      <c r="C9" s="6" t="s">
        <v>3</v>
      </c>
      <c r="D9" s="7">
        <v>12344000000</v>
      </c>
      <c r="E9" s="38">
        <v>11626813600</v>
      </c>
      <c r="F9" s="10">
        <v>7.4999999999999997E-2</v>
      </c>
      <c r="G9" s="50">
        <v>870472177.02352929</v>
      </c>
      <c r="H9" s="51" t="s">
        <v>11</v>
      </c>
      <c r="J9" s="14" t="s">
        <v>46</v>
      </c>
      <c r="K9" s="61">
        <v>89765840.294117644</v>
      </c>
      <c r="L9" s="61">
        <v>423181818.52941173</v>
      </c>
      <c r="M9" s="60">
        <v>357524518.19999999</v>
      </c>
      <c r="N9" s="61">
        <v>157080066.05003923</v>
      </c>
      <c r="O9" s="59">
        <v>445748579.10731405</v>
      </c>
      <c r="P9" s="59">
        <v>269182374.84264666</v>
      </c>
      <c r="Q9" s="60">
        <f t="shared" ref="Q9:Q12" si="0">SUM(K9:M9)</f>
        <v>870472177.02352929</v>
      </c>
      <c r="R9" s="59">
        <f t="shared" ref="R9:R12" si="1">SUM(N9:P9)</f>
        <v>872011020</v>
      </c>
      <c r="S9" s="55"/>
      <c r="T9" s="56">
        <v>46277175</v>
      </c>
    </row>
    <row r="10" spans="2:21" x14ac:dyDescent="0.3">
      <c r="B10" s="5">
        <v>4</v>
      </c>
      <c r="C10" s="6" t="s">
        <v>9</v>
      </c>
      <c r="D10" s="7">
        <v>17045000000</v>
      </c>
      <c r="E10" s="38">
        <v>15425725000</v>
      </c>
      <c r="F10" s="9">
        <v>0.1</v>
      </c>
      <c r="G10" s="50">
        <v>1539850313.2352941</v>
      </c>
      <c r="H10" s="51" t="s">
        <v>14</v>
      </c>
      <c r="J10" s="14" t="s">
        <v>2</v>
      </c>
      <c r="K10" s="61">
        <v>89765840.294117644</v>
      </c>
      <c r="L10" s="61">
        <v>423181818.52941173</v>
      </c>
      <c r="M10" s="60">
        <v>357524518.19999999</v>
      </c>
      <c r="N10" s="61">
        <v>157080066.05003923</v>
      </c>
      <c r="O10" s="59">
        <v>445748579.10731405</v>
      </c>
      <c r="P10" s="59">
        <v>269182374.84264666</v>
      </c>
      <c r="Q10" s="60">
        <f t="shared" si="0"/>
        <v>870472177.02352929</v>
      </c>
      <c r="R10" s="59">
        <f t="shared" si="1"/>
        <v>872011020</v>
      </c>
      <c r="S10" s="55"/>
      <c r="T10" s="56">
        <v>67816800</v>
      </c>
    </row>
    <row r="11" spans="2:21" x14ac:dyDescent="0.3">
      <c r="B11" s="5">
        <v>5</v>
      </c>
      <c r="C11" s="6" t="s">
        <v>15</v>
      </c>
      <c r="D11" s="62">
        <f>40500000000-D10</f>
        <v>23455000000</v>
      </c>
      <c r="E11" s="38">
        <v>20276847500</v>
      </c>
      <c r="F11" s="9">
        <v>0.05</v>
      </c>
      <c r="G11" s="50">
        <f>F11*E11</f>
        <v>1013842375</v>
      </c>
      <c r="H11" s="51" t="s">
        <v>16</v>
      </c>
      <c r="J11" s="14" t="s">
        <v>47</v>
      </c>
      <c r="K11" s="61">
        <v>158794227.94117647</v>
      </c>
      <c r="L11" s="61">
        <v>748601360.29411769</v>
      </c>
      <c r="M11" s="60">
        <v>632454725</v>
      </c>
      <c r="N11" s="61">
        <v>277871935.82367128</v>
      </c>
      <c r="O11" s="59">
        <v>788521571.71708357</v>
      </c>
      <c r="P11" s="59">
        <v>476178992.45924509</v>
      </c>
      <c r="Q11" s="60">
        <f t="shared" si="0"/>
        <v>1539850313.2352941</v>
      </c>
      <c r="R11" s="59">
        <f t="shared" si="1"/>
        <v>1542572500</v>
      </c>
      <c r="S11" s="55"/>
      <c r="T11" s="56">
        <v>26160330</v>
      </c>
    </row>
    <row r="12" spans="2:21" ht="13.5" thickBot="1" x14ac:dyDescent="0.35">
      <c r="B12" s="941" t="s">
        <v>13</v>
      </c>
      <c r="C12" s="63"/>
      <c r="D12" s="64">
        <f>SUM(D7:D11)</f>
        <v>105188000000</v>
      </c>
      <c r="E12" s="64">
        <f>SUM(E7:E11)</f>
        <v>96632199700</v>
      </c>
      <c r="F12" s="65">
        <f>AVERAGE(F7:F11)</f>
        <v>7.2000000000000008E-2</v>
      </c>
      <c r="G12" s="64">
        <f>SUM(G7:G11)</f>
        <v>6551207818.7529411</v>
      </c>
      <c r="H12" s="66">
        <f>G12/D12</f>
        <v>6.2280942871363092E-2</v>
      </c>
      <c r="J12" s="14" t="s">
        <v>48</v>
      </c>
      <c r="K12" s="61">
        <f>62619676.1029412+10862576</f>
        <v>73482252.1029412</v>
      </c>
      <c r="L12" s="61">
        <v>295207044.4852941</v>
      </c>
      <c r="M12" s="60">
        <v>249405224.25</v>
      </c>
      <c r="N12" s="61">
        <v>109577349.5357859</v>
      </c>
      <c r="O12" s="59">
        <v>310949371.7831924</v>
      </c>
      <c r="P12" s="59">
        <v>187778703.68102172</v>
      </c>
      <c r="Q12" s="60">
        <f t="shared" si="0"/>
        <v>618094520.83823538</v>
      </c>
      <c r="R12" s="59">
        <f t="shared" si="1"/>
        <v>608305425</v>
      </c>
      <c r="S12" s="55"/>
      <c r="T12" s="67">
        <v>692289104.68000007</v>
      </c>
      <c r="U12" s="26">
        <v>483160998.5</v>
      </c>
    </row>
    <row r="13" spans="2:21" ht="13.5" thickBot="1" x14ac:dyDescent="0.35">
      <c r="B13" s="942"/>
      <c r="C13" s="34"/>
      <c r="D13" s="68"/>
      <c r="E13" s="25"/>
      <c r="F13" s="69">
        <v>5.0000000000000001E-3</v>
      </c>
      <c r="G13" s="68">
        <f>F13*G43</f>
        <v>483160998.5</v>
      </c>
      <c r="H13" s="70"/>
      <c r="J13" s="71" t="s">
        <v>13</v>
      </c>
      <c r="K13" s="72">
        <f t="shared" ref="K13:P13" si="2">SUM(K8:K12)</f>
        <v>644512866.51470578</v>
      </c>
      <c r="L13" s="72">
        <f t="shared" si="2"/>
        <v>2987208512.4264708</v>
      </c>
      <c r="M13" s="73">
        <f t="shared" si="2"/>
        <v>2523738585.6500001</v>
      </c>
      <c r="N13" s="72">
        <f t="shared" si="2"/>
        <v>1108816328.8011799</v>
      </c>
      <c r="O13" s="74">
        <f t="shared" si="2"/>
        <v>3146505571.8570013</v>
      </c>
      <c r="P13" s="75">
        <f t="shared" si="2"/>
        <v>1900138064.3418183</v>
      </c>
      <c r="Q13" s="75">
        <f t="shared" ref="Q13" si="3">SUM(Q8:Q12)</f>
        <v>6155459964.591177</v>
      </c>
      <c r="R13" s="75">
        <f t="shared" ref="R13" si="4">SUM(R8:R12)</f>
        <v>6155459965</v>
      </c>
      <c r="S13" s="76" t="s">
        <v>32</v>
      </c>
      <c r="T13" s="77">
        <v>6.5814456466517096E-3</v>
      </c>
    </row>
    <row r="14" spans="2:21" ht="13.5" thickBot="1" x14ac:dyDescent="0.35">
      <c r="B14" s="943"/>
      <c r="C14" s="34"/>
      <c r="D14" s="68"/>
      <c r="E14" s="25"/>
      <c r="F14" s="69"/>
      <c r="G14" s="68">
        <f>SUM(G12:G13)</f>
        <v>7034368817.2529411</v>
      </c>
      <c r="H14" s="70"/>
      <c r="J14" s="14"/>
      <c r="K14" s="21"/>
      <c r="L14" s="21"/>
      <c r="M14" s="21"/>
      <c r="N14" s="21"/>
      <c r="O14" s="21"/>
      <c r="P14" s="21"/>
      <c r="Q14" s="21"/>
      <c r="R14" s="21"/>
      <c r="S14" s="76"/>
      <c r="T14" s="77"/>
    </row>
    <row r="15" spans="2:21" ht="13.5" thickBot="1" x14ac:dyDescent="0.35">
      <c r="S15" s="78" t="s">
        <v>52</v>
      </c>
      <c r="T15" s="79"/>
    </row>
    <row r="16" spans="2:21" ht="13.5" thickBot="1" x14ac:dyDescent="0.35">
      <c r="B16" s="936" t="s">
        <v>33</v>
      </c>
      <c r="C16" s="936"/>
      <c r="D16" s="936"/>
      <c r="J16" s="44" t="s">
        <v>34</v>
      </c>
      <c r="K16" s="37"/>
      <c r="L16" s="37"/>
      <c r="M16" s="41"/>
    </row>
    <row r="17" spans="2:18" ht="13.5" thickBot="1" x14ac:dyDescent="0.35">
      <c r="B17" s="80" t="s">
        <v>6</v>
      </c>
      <c r="C17" s="28" t="s">
        <v>5</v>
      </c>
      <c r="D17" s="29" t="s">
        <v>19</v>
      </c>
      <c r="E17" s="45" t="s">
        <v>26</v>
      </c>
      <c r="F17" s="28" t="s">
        <v>21</v>
      </c>
      <c r="G17" s="30" t="s">
        <v>20</v>
      </c>
      <c r="H17" s="81" t="s">
        <v>28</v>
      </c>
      <c r="J17" s="80" t="s">
        <v>6</v>
      </c>
      <c r="K17" s="82" t="s">
        <v>35</v>
      </c>
      <c r="L17" s="82" t="s">
        <v>39</v>
      </c>
      <c r="M17" s="83" t="s">
        <v>18</v>
      </c>
      <c r="N17" s="83" t="s">
        <v>40</v>
      </c>
      <c r="O17" s="81" t="s">
        <v>41</v>
      </c>
      <c r="P17" s="81" t="s">
        <v>42</v>
      </c>
      <c r="Q17" s="81" t="s">
        <v>43</v>
      </c>
      <c r="R17" s="83" t="s">
        <v>44</v>
      </c>
    </row>
    <row r="18" spans="2:18" ht="13.5" thickBot="1" x14ac:dyDescent="0.35">
      <c r="B18" s="84">
        <v>1</v>
      </c>
      <c r="C18" s="31" t="s">
        <v>0</v>
      </c>
      <c r="D18" s="32">
        <v>40000000000</v>
      </c>
      <c r="E18" s="85">
        <v>1</v>
      </c>
      <c r="F18" s="33"/>
      <c r="G18" s="86">
        <f>SUM(G19:G22)</f>
        <v>37676000000</v>
      </c>
      <c r="H18" s="87">
        <f>G18*6%</f>
        <v>2260560000</v>
      </c>
      <c r="J18" s="88">
        <v>1</v>
      </c>
      <c r="K18" s="31" t="s">
        <v>0</v>
      </c>
      <c r="L18" s="36">
        <v>1</v>
      </c>
      <c r="M18" s="89">
        <v>37676000000</v>
      </c>
      <c r="N18" s="90">
        <f>SUM(N19:N21)</f>
        <v>34413</v>
      </c>
      <c r="O18" s="91">
        <v>1</v>
      </c>
      <c r="P18" s="92">
        <v>37676000000</v>
      </c>
      <c r="Q18" s="92">
        <v>2260560000</v>
      </c>
      <c r="R18" s="89">
        <v>2260560000</v>
      </c>
    </row>
    <row r="19" spans="2:18" x14ac:dyDescent="0.3">
      <c r="B19" s="93">
        <v>1.1000000000000001</v>
      </c>
      <c r="C19" s="18" t="s">
        <v>22</v>
      </c>
      <c r="D19" s="20">
        <f>E19*$D$18</f>
        <v>19440000000</v>
      </c>
      <c r="E19" s="94">
        <v>0.48599999999999999</v>
      </c>
      <c r="F19" s="22">
        <v>0.05</v>
      </c>
      <c r="G19" s="59">
        <f>D19-F19*D19</f>
        <v>18468000000</v>
      </c>
      <c r="H19" s="95">
        <f>$H$18*E19</f>
        <v>1098632160</v>
      </c>
      <c r="J19" s="93">
        <v>1.1000000000000001</v>
      </c>
      <c r="K19" s="18" t="s">
        <v>36</v>
      </c>
      <c r="L19" s="23">
        <v>0.10294117647058823</v>
      </c>
      <c r="M19" s="59">
        <f>L19*$M$18</f>
        <v>3878411764.7058821</v>
      </c>
      <c r="N19" s="96">
        <v>6199</v>
      </c>
      <c r="O19" s="97">
        <f>N19/$N$18</f>
        <v>0.18013541394240548</v>
      </c>
      <c r="P19" s="61">
        <f>O19*$P$18</f>
        <v>6786781855.6940689</v>
      </c>
      <c r="Q19" s="98">
        <f>L19*$Q$18</f>
        <v>232704705.88235292</v>
      </c>
      <c r="R19" s="99">
        <f>$R$18*O19</f>
        <v>407206911.34164411</v>
      </c>
    </row>
    <row r="20" spans="2:18" x14ac:dyDescent="0.3">
      <c r="B20" s="93">
        <v>1.2</v>
      </c>
      <c r="C20" s="18" t="s">
        <v>23</v>
      </c>
      <c r="D20" s="20">
        <f>E20*$D$18</f>
        <v>2160000000</v>
      </c>
      <c r="E20" s="94">
        <v>5.3999999999999999E-2</v>
      </c>
      <c r="F20" s="22">
        <v>0.2</v>
      </c>
      <c r="G20" s="59">
        <f t="shared" ref="G20:G22" si="5">D20-F20*D20</f>
        <v>1728000000</v>
      </c>
      <c r="H20" s="95">
        <f t="shared" ref="H20:H22" si="6">$H$18*E20</f>
        <v>122070240</v>
      </c>
      <c r="J20" s="93">
        <v>1.2</v>
      </c>
      <c r="K20" s="18" t="s">
        <v>37</v>
      </c>
      <c r="L20" s="23">
        <v>0.48529411764705882</v>
      </c>
      <c r="M20" s="59">
        <f t="shared" ref="M20:M21" si="7">L20*$M$18</f>
        <v>18283941176.470589</v>
      </c>
      <c r="N20" s="96">
        <v>17591</v>
      </c>
      <c r="O20" s="97">
        <f t="shared" ref="O20:O21" si="8">N20/$N$18</f>
        <v>0.51117310318774878</v>
      </c>
      <c r="P20" s="61">
        <f t="shared" ref="P20:P21" si="9">O20*$P$18</f>
        <v>19258957835.701622</v>
      </c>
      <c r="Q20" s="98">
        <f t="shared" ref="Q20:Q21" si="10">L20*$Q$18</f>
        <v>1097036470.5882354</v>
      </c>
      <c r="R20" s="99">
        <f t="shared" ref="R20:R21" si="11">$R$18*O20</f>
        <v>1155537470.1420975</v>
      </c>
    </row>
    <row r="21" spans="2:18" x14ac:dyDescent="0.3">
      <c r="B21" s="93">
        <v>1.3</v>
      </c>
      <c r="C21" s="18" t="s">
        <v>25</v>
      </c>
      <c r="D21" s="20">
        <f t="shared" ref="D21:D22" si="12">E21*$D$18</f>
        <v>17200000000</v>
      </c>
      <c r="E21" s="22">
        <v>0.43</v>
      </c>
      <c r="F21" s="22">
        <v>0.05</v>
      </c>
      <c r="G21" s="59">
        <f t="shared" si="5"/>
        <v>16340000000</v>
      </c>
      <c r="H21" s="95">
        <f t="shared" si="6"/>
        <v>972040800</v>
      </c>
      <c r="J21" s="93">
        <v>1.3</v>
      </c>
      <c r="K21" s="18" t="s">
        <v>38</v>
      </c>
      <c r="L21" s="23">
        <v>0.41</v>
      </c>
      <c r="M21" s="59">
        <f t="shared" si="7"/>
        <v>15447160000</v>
      </c>
      <c r="N21" s="96">
        <v>10623</v>
      </c>
      <c r="O21" s="97">
        <f t="shared" si="8"/>
        <v>0.30869148286984571</v>
      </c>
      <c r="P21" s="61">
        <f t="shared" si="9"/>
        <v>11630260308.604307</v>
      </c>
      <c r="Q21" s="98">
        <f t="shared" si="10"/>
        <v>926829600</v>
      </c>
      <c r="R21" s="99">
        <f t="shared" si="11"/>
        <v>697815618.51625848</v>
      </c>
    </row>
    <row r="22" spans="2:18" x14ac:dyDescent="0.3">
      <c r="B22" s="93">
        <v>1.4</v>
      </c>
      <c r="C22" s="18" t="s">
        <v>24</v>
      </c>
      <c r="D22" s="20">
        <f t="shared" si="12"/>
        <v>1200000000</v>
      </c>
      <c r="E22" s="22">
        <v>0.03</v>
      </c>
      <c r="F22" s="22">
        <v>0.05</v>
      </c>
      <c r="G22" s="59">
        <f t="shared" si="5"/>
        <v>1140000000</v>
      </c>
      <c r="H22" s="95">
        <f t="shared" si="6"/>
        <v>67816800</v>
      </c>
      <c r="J22" s="55"/>
      <c r="M22" s="100"/>
      <c r="N22" s="100"/>
      <c r="O22" s="101"/>
      <c r="P22" s="101"/>
      <c r="Q22" s="101"/>
      <c r="R22" s="100"/>
    </row>
    <row r="23" spans="2:18" ht="13.5" thickBot="1" x14ac:dyDescent="0.35">
      <c r="B23" s="102">
        <v>2</v>
      </c>
      <c r="C23" s="34" t="s">
        <v>1</v>
      </c>
      <c r="D23" s="35">
        <v>12344000000</v>
      </c>
      <c r="E23" s="85">
        <v>1</v>
      </c>
      <c r="F23" s="36">
        <v>0.05</v>
      </c>
      <c r="G23" s="103">
        <f>SUM(G24:G27)</f>
        <v>11626813600</v>
      </c>
      <c r="H23" s="92">
        <f>G23*7.5%</f>
        <v>872011020</v>
      </c>
      <c r="J23" s="102">
        <v>2</v>
      </c>
      <c r="K23" s="34" t="s">
        <v>1</v>
      </c>
      <c r="L23" s="36">
        <v>1</v>
      </c>
      <c r="M23" s="89">
        <v>11626813600</v>
      </c>
      <c r="N23" s="90">
        <f>SUM(N24:N26)</f>
        <v>34413</v>
      </c>
      <c r="O23" s="91">
        <v>1</v>
      </c>
      <c r="P23" s="89">
        <v>11626813600</v>
      </c>
      <c r="Q23" s="92">
        <v>872011020</v>
      </c>
      <c r="R23" s="92">
        <v>872011020</v>
      </c>
    </row>
    <row r="24" spans="2:18" x14ac:dyDescent="0.3">
      <c r="B24" s="93">
        <v>2.1</v>
      </c>
      <c r="C24" s="18" t="s">
        <v>22</v>
      </c>
      <c r="D24" s="20">
        <f>$D$23*E24</f>
        <v>11307104000</v>
      </c>
      <c r="E24" s="94">
        <v>0.91600000000000004</v>
      </c>
      <c r="F24" s="22">
        <v>0.05</v>
      </c>
      <c r="G24" s="59">
        <f>D24-D24*F24</f>
        <v>10741748800</v>
      </c>
      <c r="H24" s="104">
        <v>798762076</v>
      </c>
      <c r="J24" s="93">
        <v>2.1</v>
      </c>
      <c r="K24" s="18" t="s">
        <v>36</v>
      </c>
      <c r="L24" s="23">
        <v>0.10294117647058823</v>
      </c>
      <c r="M24" s="59">
        <f>$M$23*L24</f>
        <v>1196877870.5882351</v>
      </c>
      <c r="N24" s="100">
        <v>6199</v>
      </c>
      <c r="O24" s="97">
        <v>0.18013541394240548</v>
      </c>
      <c r="P24" s="61">
        <f>$P$23*O24</f>
        <v>2094400880.6671896</v>
      </c>
      <c r="Q24" s="98">
        <f>L24*$Q$23</f>
        <v>89765840.294117644</v>
      </c>
      <c r="R24" s="99">
        <f>$R$23*O24</f>
        <v>157080066.05003923</v>
      </c>
    </row>
    <row r="25" spans="2:18" x14ac:dyDescent="0.3">
      <c r="B25" s="93">
        <v>2.2000000000000002</v>
      </c>
      <c r="C25" s="18" t="s">
        <v>23</v>
      </c>
      <c r="D25" s="20">
        <f t="shared" ref="D25:D27" si="13">$D$23*E25</f>
        <v>666576000</v>
      </c>
      <c r="E25" s="94">
        <v>5.3999999999999999E-2</v>
      </c>
      <c r="F25" s="22">
        <v>0.2</v>
      </c>
      <c r="G25" s="59">
        <f t="shared" ref="G25:G27" si="14">D25-D25*F25</f>
        <v>533260800</v>
      </c>
      <c r="H25" s="104">
        <v>47088594</v>
      </c>
      <c r="J25" s="93">
        <v>2.2000000000000002</v>
      </c>
      <c r="K25" s="18" t="s">
        <v>37</v>
      </c>
      <c r="L25" s="23">
        <v>0.48529411764705882</v>
      </c>
      <c r="M25" s="59">
        <f t="shared" ref="M25:M26" si="15">$M$23*L25</f>
        <v>5642424247.0588236</v>
      </c>
      <c r="N25" s="100">
        <v>17591</v>
      </c>
      <c r="O25" s="97">
        <v>0.51117310318774878</v>
      </c>
      <c r="P25" s="61">
        <f t="shared" ref="P25:P26" si="16">$P$23*O25</f>
        <v>5943314388.0975208</v>
      </c>
      <c r="Q25" s="98">
        <f t="shared" ref="Q25:Q26" si="17">L25*$Q$23</f>
        <v>423181818.52941173</v>
      </c>
      <c r="R25" s="99">
        <f t="shared" ref="R25:R26" si="18">$R$23*O25</f>
        <v>445748579.10731405</v>
      </c>
    </row>
    <row r="26" spans="2:18" x14ac:dyDescent="0.3">
      <c r="B26" s="93">
        <v>2.2999999999999998</v>
      </c>
      <c r="C26" s="18" t="s">
        <v>25</v>
      </c>
      <c r="D26" s="20">
        <f t="shared" si="13"/>
        <v>0</v>
      </c>
      <c r="E26" s="22"/>
      <c r="F26" s="22">
        <v>0.05</v>
      </c>
      <c r="G26" s="59">
        <f t="shared" si="14"/>
        <v>0</v>
      </c>
      <c r="H26" s="104">
        <v>0</v>
      </c>
      <c r="J26" s="93">
        <v>2.2999999999999998</v>
      </c>
      <c r="K26" s="18" t="s">
        <v>38</v>
      </c>
      <c r="L26" s="23">
        <v>0.41</v>
      </c>
      <c r="M26" s="59">
        <f t="shared" si="15"/>
        <v>4766993576</v>
      </c>
      <c r="N26" s="100">
        <v>10623</v>
      </c>
      <c r="O26" s="97">
        <v>0.30869148286984571</v>
      </c>
      <c r="P26" s="61">
        <f t="shared" si="16"/>
        <v>3589098331.2352891</v>
      </c>
      <c r="Q26" s="98">
        <f t="shared" si="17"/>
        <v>357524518.19999999</v>
      </c>
      <c r="R26" s="99">
        <f t="shared" si="18"/>
        <v>269182374.84264666</v>
      </c>
    </row>
    <row r="27" spans="2:18" x14ac:dyDescent="0.3">
      <c r="B27" s="93">
        <v>2.4</v>
      </c>
      <c r="C27" s="18" t="s">
        <v>24</v>
      </c>
      <c r="D27" s="20">
        <f t="shared" si="13"/>
        <v>370320000</v>
      </c>
      <c r="E27" s="22">
        <v>0.03</v>
      </c>
      <c r="F27" s="22">
        <v>0.05</v>
      </c>
      <c r="G27" s="59">
        <f t="shared" si="14"/>
        <v>351804000</v>
      </c>
      <c r="H27" s="104">
        <v>26160330</v>
      </c>
      <c r="J27" s="55"/>
      <c r="M27" s="105"/>
      <c r="N27" s="100"/>
      <c r="O27" s="97"/>
      <c r="P27" s="101"/>
      <c r="Q27" s="101"/>
      <c r="R27" s="100"/>
    </row>
    <row r="28" spans="2:18" ht="13.5" thickBot="1" x14ac:dyDescent="0.35">
      <c r="B28" s="102">
        <v>3</v>
      </c>
      <c r="C28" s="34" t="s">
        <v>3</v>
      </c>
      <c r="D28" s="35">
        <v>12344000000</v>
      </c>
      <c r="E28" s="85">
        <v>1</v>
      </c>
      <c r="F28" s="36">
        <v>0.05</v>
      </c>
      <c r="G28" s="103">
        <f>SUM(G29:G32)</f>
        <v>11626813600</v>
      </c>
      <c r="H28" s="92">
        <f>G28*7.5%</f>
        <v>872011020</v>
      </c>
      <c r="J28" s="102">
        <v>3</v>
      </c>
      <c r="K28" s="34" t="s">
        <v>3</v>
      </c>
      <c r="L28" s="36">
        <v>1</v>
      </c>
      <c r="M28" s="103">
        <v>11626813600</v>
      </c>
      <c r="N28" s="90">
        <f>SUM(N29:N31)</f>
        <v>34413</v>
      </c>
      <c r="O28" s="91">
        <v>1</v>
      </c>
      <c r="P28" s="103">
        <v>11626813600</v>
      </c>
      <c r="Q28" s="92">
        <v>872011020</v>
      </c>
      <c r="R28" s="92">
        <v>872011020</v>
      </c>
    </row>
    <row r="29" spans="2:18" x14ac:dyDescent="0.3">
      <c r="B29" s="93">
        <v>3.1</v>
      </c>
      <c r="C29" s="18" t="s">
        <v>22</v>
      </c>
      <c r="D29" s="20">
        <f>$D$28*E29</f>
        <v>11307104000</v>
      </c>
      <c r="E29" s="94">
        <v>0.91600000000000004</v>
      </c>
      <c r="F29" s="22">
        <v>0.05</v>
      </c>
      <c r="G29" s="59">
        <f>D29-F29*D29</f>
        <v>10741748800</v>
      </c>
      <c r="H29" s="104">
        <f>E29*$H$28</f>
        <v>798762094.32000005</v>
      </c>
      <c r="J29" s="93">
        <v>3.1</v>
      </c>
      <c r="K29" s="18" t="s">
        <v>36</v>
      </c>
      <c r="L29" s="23">
        <v>0.10294117647058823</v>
      </c>
      <c r="M29" s="59">
        <f>L29*$M$28</f>
        <v>1196877870.5882351</v>
      </c>
      <c r="N29" s="100">
        <v>6199</v>
      </c>
      <c r="O29" s="97">
        <v>0.18013541394240548</v>
      </c>
      <c r="P29" s="61">
        <f>$P$28*O29</f>
        <v>2094400880.6671896</v>
      </c>
      <c r="Q29" s="98">
        <v>89765840.294117644</v>
      </c>
      <c r="R29" s="99">
        <v>157080066.05003923</v>
      </c>
    </row>
    <row r="30" spans="2:18" x14ac:dyDescent="0.3">
      <c r="B30" s="93">
        <v>3.2</v>
      </c>
      <c r="C30" s="18" t="s">
        <v>23</v>
      </c>
      <c r="D30" s="20">
        <f t="shared" ref="D30:D32" si="19">$D$28*E30</f>
        <v>666576000</v>
      </c>
      <c r="E30" s="94">
        <v>5.3999999999999999E-2</v>
      </c>
      <c r="F30" s="22">
        <v>0.2</v>
      </c>
      <c r="G30" s="59">
        <f t="shared" ref="G30:G32" si="20">D30-F30*D30</f>
        <v>533260800</v>
      </c>
      <c r="H30" s="104">
        <f t="shared" ref="H30:H32" si="21">E30*$H$28</f>
        <v>47088595.079999998</v>
      </c>
      <c r="J30" s="93">
        <v>3.2</v>
      </c>
      <c r="K30" s="18" t="s">
        <v>37</v>
      </c>
      <c r="L30" s="23">
        <v>0.48529411764705882</v>
      </c>
      <c r="M30" s="59">
        <f t="shared" ref="M30:M31" si="22">L30*$M$28</f>
        <v>5642424247.0588236</v>
      </c>
      <c r="N30" s="100">
        <v>17591</v>
      </c>
      <c r="O30" s="97">
        <v>0.51117310318774878</v>
      </c>
      <c r="P30" s="61">
        <f t="shared" ref="P30:P31" si="23">$P$28*O30</f>
        <v>5943314388.0975208</v>
      </c>
      <c r="Q30" s="98">
        <v>423181818.52941173</v>
      </c>
      <c r="R30" s="99">
        <v>445748579.10731405</v>
      </c>
    </row>
    <row r="31" spans="2:18" x14ac:dyDescent="0.3">
      <c r="B31" s="93">
        <v>3.3</v>
      </c>
      <c r="C31" s="18" t="s">
        <v>25</v>
      </c>
      <c r="D31" s="20">
        <f t="shared" si="19"/>
        <v>0</v>
      </c>
      <c r="E31" s="22"/>
      <c r="F31" s="22">
        <v>0.05</v>
      </c>
      <c r="G31" s="59">
        <f t="shared" si="20"/>
        <v>0</v>
      </c>
      <c r="H31" s="104">
        <f t="shared" si="21"/>
        <v>0</v>
      </c>
      <c r="J31" s="93">
        <v>3.3</v>
      </c>
      <c r="K31" s="18" t="s">
        <v>38</v>
      </c>
      <c r="L31" s="23">
        <v>0.41</v>
      </c>
      <c r="M31" s="59">
        <f t="shared" si="22"/>
        <v>4766993576</v>
      </c>
      <c r="N31" s="100">
        <v>10623</v>
      </c>
      <c r="O31" s="97">
        <v>0.30869148286984571</v>
      </c>
      <c r="P31" s="61">
        <f t="shared" si="23"/>
        <v>3589098331.2352891</v>
      </c>
      <c r="Q31" s="98">
        <v>357524518.19999999</v>
      </c>
      <c r="R31" s="99">
        <v>269182374.84264666</v>
      </c>
    </row>
    <row r="32" spans="2:18" x14ac:dyDescent="0.3">
      <c r="B32" s="93">
        <v>3.4</v>
      </c>
      <c r="C32" s="18" t="s">
        <v>24</v>
      </c>
      <c r="D32" s="20">
        <f t="shared" si="19"/>
        <v>370320000</v>
      </c>
      <c r="E32" s="22">
        <v>0.03</v>
      </c>
      <c r="F32" s="22">
        <v>0.05</v>
      </c>
      <c r="G32" s="59">
        <f t="shared" si="20"/>
        <v>351804000</v>
      </c>
      <c r="H32" s="104">
        <f t="shared" si="21"/>
        <v>26160330.599999998</v>
      </c>
      <c r="J32" s="55"/>
      <c r="M32" s="100"/>
      <c r="N32" s="100"/>
      <c r="O32" s="97"/>
      <c r="P32" s="101"/>
      <c r="Q32" s="101"/>
      <c r="R32" s="100"/>
    </row>
    <row r="33" spans="2:18" ht="13.5" thickBot="1" x14ac:dyDescent="0.35">
      <c r="B33" s="102">
        <v>4</v>
      </c>
      <c r="C33" s="34" t="s">
        <v>9</v>
      </c>
      <c r="D33" s="35">
        <v>17045000000</v>
      </c>
      <c r="E33" s="85">
        <v>1</v>
      </c>
      <c r="F33" s="36">
        <v>0.1</v>
      </c>
      <c r="G33" s="103">
        <f>SUM(G34:G37)</f>
        <v>15425725000</v>
      </c>
      <c r="H33" s="92">
        <f>G33*10%</f>
        <v>1542572500</v>
      </c>
      <c r="J33" s="102">
        <v>4</v>
      </c>
      <c r="K33" s="34" t="s">
        <v>9</v>
      </c>
      <c r="L33" s="36">
        <v>1</v>
      </c>
      <c r="M33" s="89">
        <v>15425725000</v>
      </c>
      <c r="N33" s="90">
        <f>SUM(N34:N36)</f>
        <v>34413</v>
      </c>
      <c r="O33" s="91">
        <v>1</v>
      </c>
      <c r="P33" s="89">
        <v>15425725000</v>
      </c>
      <c r="Q33" s="92">
        <v>1542572500</v>
      </c>
      <c r="R33" s="92">
        <v>1542572500</v>
      </c>
    </row>
    <row r="34" spans="2:18" x14ac:dyDescent="0.3">
      <c r="B34" s="93">
        <v>4.0999999999999996</v>
      </c>
      <c r="C34" s="18" t="s">
        <v>22</v>
      </c>
      <c r="D34" s="20">
        <f>$D$33*E34</f>
        <v>9715650000</v>
      </c>
      <c r="E34" s="94">
        <v>0.56999999999999995</v>
      </c>
      <c r="F34" s="22">
        <v>0.05</v>
      </c>
      <c r="G34" s="59">
        <f>D34-D34*F34</f>
        <v>9229867500</v>
      </c>
      <c r="H34" s="104">
        <f>G34*F10*E34</f>
        <v>526102447.49999994</v>
      </c>
      <c r="J34" s="93">
        <v>4.0999999999999996</v>
      </c>
      <c r="K34" s="18" t="s">
        <v>36</v>
      </c>
      <c r="L34" s="23">
        <v>0.10294117647058823</v>
      </c>
      <c r="M34" s="59">
        <f>$M$33*L34</f>
        <v>1587942279.4117646</v>
      </c>
      <c r="N34" s="100">
        <v>6199</v>
      </c>
      <c r="O34" s="97">
        <v>0.18013541394240548</v>
      </c>
      <c r="P34" s="61">
        <f>O34*$P$33</f>
        <v>2778719358.2367129</v>
      </c>
      <c r="Q34" s="98">
        <f>$Q$33*L34</f>
        <v>158794227.94117647</v>
      </c>
      <c r="R34" s="59">
        <f>$R$33*O34</f>
        <v>277871935.82367128</v>
      </c>
    </row>
    <row r="35" spans="2:18" x14ac:dyDescent="0.3">
      <c r="B35" s="93">
        <v>4.2</v>
      </c>
      <c r="C35" s="18" t="s">
        <v>23</v>
      </c>
      <c r="D35" s="20">
        <f t="shared" ref="D35:D37" si="24">$D$33*E35</f>
        <v>5113500000</v>
      </c>
      <c r="E35" s="94">
        <v>0.3</v>
      </c>
      <c r="F35" s="22">
        <v>0.2</v>
      </c>
      <c r="G35" s="59">
        <f t="shared" ref="G35:G37" si="25">D35-D35*F35</f>
        <v>4090800000</v>
      </c>
      <c r="H35" s="104">
        <f>G35*E35*F10</f>
        <v>122724000</v>
      </c>
      <c r="J35" s="93">
        <v>4.2</v>
      </c>
      <c r="K35" s="18" t="s">
        <v>37</v>
      </c>
      <c r="L35" s="23">
        <v>0.48529411764705882</v>
      </c>
      <c r="M35" s="59">
        <f t="shared" ref="M35:M36" si="26">$M$33*L35</f>
        <v>7486013602.9411764</v>
      </c>
      <c r="N35" s="100">
        <v>17591</v>
      </c>
      <c r="O35" s="97">
        <v>0.51117310318774878</v>
      </c>
      <c r="P35" s="61">
        <f t="shared" ref="P35:P36" si="27">O35*$P$33</f>
        <v>7885215717.1708364</v>
      </c>
      <c r="Q35" s="98">
        <f t="shared" ref="Q35:Q36" si="28">$Q$33*L35</f>
        <v>748601360.29411769</v>
      </c>
      <c r="R35" s="59">
        <f t="shared" ref="R35:R36" si="29">$R$33*O35</f>
        <v>788521571.71708357</v>
      </c>
    </row>
    <row r="36" spans="2:18" x14ac:dyDescent="0.3">
      <c r="B36" s="93">
        <v>4.3</v>
      </c>
      <c r="C36" s="18" t="s">
        <v>27</v>
      </c>
      <c r="D36" s="20">
        <f t="shared" si="24"/>
        <v>1704500000</v>
      </c>
      <c r="E36" s="22">
        <v>0.1</v>
      </c>
      <c r="F36" s="22">
        <v>0.05</v>
      </c>
      <c r="G36" s="59">
        <f t="shared" si="25"/>
        <v>1619275000</v>
      </c>
      <c r="H36" s="104">
        <f t="shared" ref="H36:H37" si="30">$H$33*E36</f>
        <v>154257250</v>
      </c>
      <c r="J36" s="93">
        <v>4.3</v>
      </c>
      <c r="K36" s="18" t="s">
        <v>38</v>
      </c>
      <c r="L36" s="23">
        <v>0.41</v>
      </c>
      <c r="M36" s="59">
        <f t="shared" si="26"/>
        <v>6324547250</v>
      </c>
      <c r="N36" s="100">
        <v>10623</v>
      </c>
      <c r="O36" s="97">
        <v>0.30869148286984571</v>
      </c>
      <c r="P36" s="61">
        <f t="shared" si="27"/>
        <v>4761789924.5924511</v>
      </c>
      <c r="Q36" s="98">
        <f t="shared" si="28"/>
        <v>632454725</v>
      </c>
      <c r="R36" s="59">
        <f t="shared" si="29"/>
        <v>476178992.45924509</v>
      </c>
    </row>
    <row r="37" spans="2:18" ht="13.5" thickBot="1" x14ac:dyDescent="0.35">
      <c r="B37" s="93">
        <v>4.4000000000000004</v>
      </c>
      <c r="C37" s="18" t="s">
        <v>24</v>
      </c>
      <c r="D37" s="20">
        <f t="shared" si="24"/>
        <v>511350000</v>
      </c>
      <c r="E37" s="22">
        <v>0.03</v>
      </c>
      <c r="F37" s="22">
        <v>0.05</v>
      </c>
      <c r="G37" s="59">
        <f t="shared" si="25"/>
        <v>485782500</v>
      </c>
      <c r="H37" s="104">
        <f t="shared" si="30"/>
        <v>46277175</v>
      </c>
      <c r="J37" s="55"/>
      <c r="M37" s="100"/>
      <c r="N37" s="100"/>
      <c r="O37" s="97"/>
      <c r="P37" s="101"/>
      <c r="Q37" s="101"/>
      <c r="R37" s="100"/>
    </row>
    <row r="38" spans="2:18" ht="13.5" thickBot="1" x14ac:dyDescent="0.35">
      <c r="B38" s="106">
        <v>5</v>
      </c>
      <c r="C38" s="37" t="s">
        <v>15</v>
      </c>
      <c r="D38" s="107">
        <f>40500000000-D33</f>
        <v>23455000000</v>
      </c>
      <c r="E38" s="85">
        <v>1</v>
      </c>
      <c r="F38" s="108">
        <v>0.1</v>
      </c>
      <c r="G38" s="109">
        <f>SUM(G39:G42)</f>
        <v>20276847500</v>
      </c>
      <c r="H38" s="92">
        <f>G38*3%</f>
        <v>608305425</v>
      </c>
      <c r="I38" s="21"/>
      <c r="J38" s="106">
        <v>5</v>
      </c>
      <c r="K38" s="37" t="s">
        <v>15</v>
      </c>
      <c r="L38" s="36">
        <v>1</v>
      </c>
      <c r="M38" s="89">
        <v>20276847500</v>
      </c>
      <c r="N38" s="90">
        <f>SUM(N39:N41)</f>
        <v>34413</v>
      </c>
      <c r="O38" s="91">
        <v>1</v>
      </c>
      <c r="P38" s="89">
        <v>20276847500</v>
      </c>
      <c r="Q38" s="92">
        <v>608305425</v>
      </c>
      <c r="R38" s="92">
        <v>608305425</v>
      </c>
    </row>
    <row r="39" spans="2:18" x14ac:dyDescent="0.3">
      <c r="B39" s="93">
        <v>5.0999999999999996</v>
      </c>
      <c r="C39" s="18" t="s">
        <v>22</v>
      </c>
      <c r="D39" s="20">
        <f>$D$38*E39</f>
        <v>9382000000</v>
      </c>
      <c r="E39" s="94">
        <v>0.4</v>
      </c>
      <c r="F39" s="22">
        <v>0.05</v>
      </c>
      <c r="G39" s="59">
        <f>D39-F39*D39</f>
        <v>8912900000</v>
      </c>
      <c r="H39" s="110">
        <f>$H$38*E39</f>
        <v>243322170</v>
      </c>
      <c r="I39" s="111"/>
      <c r="J39" s="93">
        <v>5.0999999999999996</v>
      </c>
      <c r="K39" s="18" t="s">
        <v>36</v>
      </c>
      <c r="L39" s="23">
        <v>0.10294117647058823</v>
      </c>
      <c r="M39" s="99">
        <f>L39*$M$38</f>
        <v>2087322536.7647059</v>
      </c>
      <c r="N39" s="100">
        <v>6199</v>
      </c>
      <c r="O39" s="97">
        <v>0.18013541394240548</v>
      </c>
      <c r="P39" s="98">
        <f>$P$38*O39</f>
        <v>3652578317.8595295</v>
      </c>
      <c r="Q39" s="61">
        <f>$Q$38*L39</f>
        <v>62619676.10294117</v>
      </c>
      <c r="R39" s="59">
        <f>O39*$R$38</f>
        <v>109577349.5357859</v>
      </c>
    </row>
    <row r="40" spans="2:18" x14ac:dyDescent="0.3">
      <c r="B40" s="93">
        <v>5.2</v>
      </c>
      <c r="C40" s="18" t="s">
        <v>23</v>
      </c>
      <c r="D40" s="20">
        <f t="shared" ref="D40:D42" si="31">$D$38*E40</f>
        <v>13369349999.999998</v>
      </c>
      <c r="E40" s="94">
        <v>0.56999999999999995</v>
      </c>
      <c r="F40" s="22">
        <v>0.2</v>
      </c>
      <c r="G40" s="59">
        <f>D40-F40*D40</f>
        <v>10695479999.999998</v>
      </c>
      <c r="H40" s="110">
        <f t="shared" ref="H40:H42" si="32">$H$38*E40</f>
        <v>346734092.25</v>
      </c>
      <c r="J40" s="93">
        <v>5.2</v>
      </c>
      <c r="K40" s="18" t="s">
        <v>37</v>
      </c>
      <c r="L40" s="23">
        <v>0.48529411764705882</v>
      </c>
      <c r="M40" s="99">
        <f t="shared" ref="M40:M41" si="33">L40*$M$38</f>
        <v>9840234816.1764698</v>
      </c>
      <c r="N40" s="100">
        <v>17591</v>
      </c>
      <c r="O40" s="97">
        <v>0.51117310318774878</v>
      </c>
      <c r="P40" s="98">
        <f t="shared" ref="P40:P41" si="34">$P$38*O40</f>
        <v>10364979059.439745</v>
      </c>
      <c r="Q40" s="61">
        <f t="shared" ref="Q40:Q41" si="35">$Q$38*L40</f>
        <v>295207044.4852941</v>
      </c>
      <c r="R40" s="59">
        <f t="shared" ref="R40:R41" si="36">O40*$R$38</f>
        <v>310949371.7831924</v>
      </c>
    </row>
    <row r="41" spans="2:18" x14ac:dyDescent="0.3">
      <c r="B41" s="93">
        <v>5.3</v>
      </c>
      <c r="C41" s="18" t="s">
        <v>25</v>
      </c>
      <c r="D41" s="20">
        <f t="shared" si="31"/>
        <v>0</v>
      </c>
      <c r="E41" s="22"/>
      <c r="F41" s="22">
        <v>0.05</v>
      </c>
      <c r="G41" s="59">
        <f>D41-F41*D41</f>
        <v>0</v>
      </c>
      <c r="H41" s="110">
        <f t="shared" si="32"/>
        <v>0</v>
      </c>
      <c r="J41" s="93">
        <v>5.3</v>
      </c>
      <c r="K41" s="18" t="s">
        <v>38</v>
      </c>
      <c r="L41" s="23">
        <v>0.41</v>
      </c>
      <c r="M41" s="99">
        <f t="shared" si="33"/>
        <v>8313507474.999999</v>
      </c>
      <c r="N41" s="100">
        <v>10623</v>
      </c>
      <c r="O41" s="97">
        <v>0.30869148286984571</v>
      </c>
      <c r="P41" s="98">
        <f t="shared" si="34"/>
        <v>6259290122.7007236</v>
      </c>
      <c r="Q41" s="61">
        <f t="shared" si="35"/>
        <v>249405224.25</v>
      </c>
      <c r="R41" s="59">
        <f t="shared" si="36"/>
        <v>187778703.68102172</v>
      </c>
    </row>
    <row r="42" spans="2:18" x14ac:dyDescent="0.3">
      <c r="B42" s="93">
        <v>5.4</v>
      </c>
      <c r="C42" s="18" t="s">
        <v>24</v>
      </c>
      <c r="D42" s="20">
        <f t="shared" si="31"/>
        <v>703650000</v>
      </c>
      <c r="E42" s="22">
        <v>0.03</v>
      </c>
      <c r="F42" s="22">
        <v>0.05</v>
      </c>
      <c r="G42" s="59">
        <f>D42-F42*D42</f>
        <v>668467500</v>
      </c>
      <c r="H42" s="110">
        <f t="shared" si="32"/>
        <v>18249162.75</v>
      </c>
      <c r="J42" s="55"/>
      <c r="M42" s="100"/>
      <c r="N42" s="100"/>
      <c r="O42" s="101"/>
      <c r="P42" s="101"/>
      <c r="Q42" s="101"/>
      <c r="R42" s="100"/>
    </row>
    <row r="43" spans="2:18" ht="13.5" thickBot="1" x14ac:dyDescent="0.35">
      <c r="B43" s="112" t="s">
        <v>13</v>
      </c>
      <c r="C43" s="113"/>
      <c r="D43" s="64">
        <f>SUM(D38,D33,D28,D23,D18)</f>
        <v>105188000000</v>
      </c>
      <c r="E43" s="25"/>
      <c r="F43" s="113"/>
      <c r="G43" s="114">
        <f>SUM(G38,G33,G28,G23,G18)</f>
        <v>96632199700</v>
      </c>
      <c r="H43" s="114">
        <f>SUM(H38,H33,H28,H23,H18)</f>
        <v>6155459965</v>
      </c>
      <c r="J43" s="112" t="s">
        <v>13</v>
      </c>
      <c r="K43" s="63"/>
      <c r="L43" s="113"/>
      <c r="M43" s="115">
        <f t="shared" ref="M43" si="37">SUM(M38,M33,M28,M23,M18)</f>
        <v>96632199700</v>
      </c>
      <c r="N43" s="115"/>
      <c r="O43" s="115"/>
      <c r="P43" s="115">
        <f>SUM(P38,P33,P28,P23,P18)</f>
        <v>96632199700</v>
      </c>
      <c r="Q43" s="115">
        <f>SUM(Q38,Q33,Q28,Q23,Q18)</f>
        <v>6155459965</v>
      </c>
      <c r="R43" s="115">
        <f>SUM(R38,R33,R28,R23,R18)</f>
        <v>6155459965</v>
      </c>
    </row>
    <row r="44" spans="2:18" x14ac:dyDescent="0.3">
      <c r="M44" s="21">
        <f>M43*0.5%</f>
        <v>483160998.5</v>
      </c>
    </row>
  </sheetData>
  <mergeCells count="5">
    <mergeCell ref="J6:J7"/>
    <mergeCell ref="B16:D16"/>
    <mergeCell ref="Q6:Q7"/>
    <mergeCell ref="R6:R7"/>
    <mergeCell ref="B12:B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6C588-14E8-4FC0-B214-854BD45BE464}">
  <sheetPr>
    <tabColor rgb="FFFF0000"/>
  </sheetPr>
  <dimension ref="B1:I20"/>
  <sheetViews>
    <sheetView topLeftCell="A4" workbookViewId="0">
      <selection activeCell="H23" sqref="H23"/>
    </sheetView>
  </sheetViews>
  <sheetFormatPr defaultColWidth="9.08984375" defaultRowHeight="13" x14ac:dyDescent="0.3"/>
  <cols>
    <col min="1" max="1" width="3.6328125" style="18" customWidth="1"/>
    <col min="2" max="2" width="31.54296875" style="18" bestFit="1" customWidth="1"/>
    <col min="3" max="3" width="17.08984375" style="18" customWidth="1"/>
    <col min="4" max="4" width="15.08984375" style="18" bestFit="1" customWidth="1"/>
    <col min="5" max="5" width="14.08984375" style="18" bestFit="1" customWidth="1"/>
    <col min="6" max="6" width="16.08984375" style="18" bestFit="1" customWidth="1"/>
    <col min="7" max="7" width="11.90625" style="18" customWidth="1"/>
    <col min="8" max="8" width="14.36328125" style="18" customWidth="1"/>
    <col min="9" max="9" width="18.36328125" style="18" bestFit="1" customWidth="1"/>
    <col min="10" max="16384" width="9.08984375" style="18"/>
  </cols>
  <sheetData>
    <row r="1" spans="2:9" ht="13.5" thickBot="1" x14ac:dyDescent="0.35"/>
    <row r="2" spans="2:9" x14ac:dyDescent="0.3">
      <c r="B2" s="116" t="s">
        <v>29</v>
      </c>
      <c r="C2" s="117"/>
    </row>
    <row r="3" spans="2:9" x14ac:dyDescent="0.3">
      <c r="B3" s="118" t="s">
        <v>30</v>
      </c>
      <c r="C3" s="119">
        <v>405536950</v>
      </c>
      <c r="E3" s="120"/>
    </row>
    <row r="4" spans="2:9" x14ac:dyDescent="0.3">
      <c r="B4" s="118" t="s">
        <v>31</v>
      </c>
      <c r="C4" s="119">
        <v>146497849.68000001</v>
      </c>
      <c r="D4" s="121"/>
    </row>
    <row r="5" spans="2:9" x14ac:dyDescent="0.3">
      <c r="B5" s="118"/>
      <c r="C5" s="119">
        <v>46277175</v>
      </c>
    </row>
    <row r="6" spans="2:9" x14ac:dyDescent="0.3">
      <c r="B6" s="118"/>
      <c r="C6" s="119">
        <v>67816800</v>
      </c>
    </row>
    <row r="7" spans="2:9" x14ac:dyDescent="0.3">
      <c r="B7" s="118"/>
      <c r="C7" s="119">
        <v>26160330</v>
      </c>
    </row>
    <row r="8" spans="2:9" ht="13.5" thickBot="1" x14ac:dyDescent="0.35">
      <c r="B8" s="118"/>
      <c r="C8" s="122">
        <v>692289104.68000007</v>
      </c>
    </row>
    <row r="9" spans="2:9" ht="53" customHeight="1" thickBot="1" x14ac:dyDescent="0.35">
      <c r="B9" s="123" t="s">
        <v>55</v>
      </c>
      <c r="C9" s="124">
        <v>6.5814456466517096E-3</v>
      </c>
      <c r="E9" s="125"/>
    </row>
    <row r="10" spans="2:9" ht="26.5" thickBot="1" x14ac:dyDescent="0.35">
      <c r="B10" s="126" t="s">
        <v>92</v>
      </c>
      <c r="C10" s="127">
        <v>105188000000</v>
      </c>
    </row>
    <row r="11" spans="2:9" x14ac:dyDescent="0.3">
      <c r="C11" s="111">
        <f>C10*0.5%</f>
        <v>525940000</v>
      </c>
    </row>
    <row r="12" spans="2:9" x14ac:dyDescent="0.3">
      <c r="B12" s="14" t="s">
        <v>94</v>
      </c>
      <c r="C12" s="128">
        <f>SUM(C11,C8)</f>
        <v>1218229104.6800001</v>
      </c>
    </row>
    <row r="13" spans="2:9" ht="13.5" thickBot="1" x14ac:dyDescent="0.35"/>
    <row r="14" spans="2:9" ht="13.5" thickBot="1" x14ac:dyDescent="0.35">
      <c r="B14" s="129" t="s">
        <v>99</v>
      </c>
      <c r="C14" s="130" t="s">
        <v>98</v>
      </c>
      <c r="D14" s="130" t="s">
        <v>93</v>
      </c>
      <c r="E14" s="130" t="s">
        <v>97</v>
      </c>
      <c r="F14" s="131" t="s">
        <v>100</v>
      </c>
      <c r="G14" s="944" t="s">
        <v>102</v>
      </c>
      <c r="H14" s="132" t="s">
        <v>103</v>
      </c>
      <c r="I14" s="53" t="s">
        <v>104</v>
      </c>
    </row>
    <row r="15" spans="2:9" x14ac:dyDescent="0.3">
      <c r="B15" s="133" t="s">
        <v>96</v>
      </c>
      <c r="C15" s="134">
        <f>D15/$D$18</f>
        <v>0.61835270838486267</v>
      </c>
      <c r="D15" s="135">
        <v>37676000000</v>
      </c>
      <c r="E15" s="136">
        <f>D15*10%</f>
        <v>3767600000</v>
      </c>
      <c r="F15" s="6"/>
      <c r="G15" s="945"/>
      <c r="H15" s="137"/>
      <c r="I15" s="138"/>
    </row>
    <row r="16" spans="2:9" x14ac:dyDescent="0.3">
      <c r="B16" s="133" t="s">
        <v>101</v>
      </c>
      <c r="C16" s="134">
        <f t="shared" ref="C16:C17" si="0">D16/$D$18</f>
        <v>0.19082364580756864</v>
      </c>
      <c r="D16" s="135">
        <v>11626813600</v>
      </c>
      <c r="E16" s="136">
        <f t="shared" ref="E16:E17" si="1">D16*10%</f>
        <v>1162681360</v>
      </c>
      <c r="F16" s="62">
        <v>218229000</v>
      </c>
      <c r="G16" s="139">
        <f>SUM(F16,E16)/D16</f>
        <v>0.11876945889972812</v>
      </c>
      <c r="H16" s="140">
        <f>F16/4</f>
        <v>54557250</v>
      </c>
      <c r="I16" s="141">
        <f>F16/D16</f>
        <v>1.8769458899728125E-2</v>
      </c>
    </row>
    <row r="17" spans="2:9" ht="13.5" thickBot="1" x14ac:dyDescent="0.35">
      <c r="B17" s="142" t="s">
        <v>95</v>
      </c>
      <c r="C17" s="143">
        <f t="shared" si="0"/>
        <v>0.19082364580756864</v>
      </c>
      <c r="D17" s="144">
        <v>11626813600</v>
      </c>
      <c r="E17" s="145">
        <f t="shared" si="1"/>
        <v>1162681360</v>
      </c>
      <c r="F17" s="146">
        <v>1000000000</v>
      </c>
      <c r="G17" s="139">
        <f>SUM(F17,E17)/D17</f>
        <v>0.1860080873748591</v>
      </c>
      <c r="H17" s="140">
        <f>F17/4</f>
        <v>250000000</v>
      </c>
      <c r="I17" s="141">
        <f>F17/D17</f>
        <v>8.6008087374859099E-2</v>
      </c>
    </row>
    <row r="18" spans="2:9" ht="13.5" thickBot="1" x14ac:dyDescent="0.35">
      <c r="B18" s="80" t="s">
        <v>13</v>
      </c>
      <c r="C18" s="147">
        <f>SUM(C15:C17)</f>
        <v>0.99999999999999989</v>
      </c>
      <c r="D18" s="148">
        <f>SUM(D15:D17)</f>
        <v>60929627200</v>
      </c>
      <c r="E18" s="148">
        <f>SUM(E15:E17)</f>
        <v>6092962720</v>
      </c>
      <c r="F18" s="148">
        <f>SUM(F15:F17)</f>
        <v>1218229000</v>
      </c>
      <c r="G18" s="149">
        <v>0.15</v>
      </c>
      <c r="H18" s="150">
        <f>SUM(H16:H17)</f>
        <v>304557250</v>
      </c>
      <c r="I18" s="151"/>
    </row>
    <row r="20" spans="2:9" x14ac:dyDescent="0.3">
      <c r="B20" s="946" t="s">
        <v>105</v>
      </c>
      <c r="C20" s="946"/>
      <c r="D20" s="946"/>
      <c r="E20" s="946"/>
      <c r="F20" s="946"/>
      <c r="G20" s="946"/>
      <c r="H20" s="946"/>
      <c r="I20" s="946"/>
    </row>
  </sheetData>
  <mergeCells count="2">
    <mergeCell ref="G14:G15"/>
    <mergeCell ref="B20:I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4587-EB80-4923-9225-79B009407AFA}">
  <sheetPr>
    <tabColor theme="7" tint="0.59999389629810485"/>
  </sheetPr>
  <dimension ref="A1:AB77"/>
  <sheetViews>
    <sheetView tabSelected="1" zoomScale="70" zoomScaleNormal="70" workbookViewId="0">
      <selection sqref="A1:XFD1048576"/>
    </sheetView>
  </sheetViews>
  <sheetFormatPr defaultColWidth="9.08984375" defaultRowHeight="13" x14ac:dyDescent="0.3"/>
  <cols>
    <col min="1" max="1" width="9.08984375" style="18"/>
    <col min="2" max="2" width="8.453125" style="18" customWidth="1"/>
    <col min="3" max="3" width="8.6328125" style="18" customWidth="1"/>
    <col min="4" max="4" width="9.6328125" style="18" customWidth="1"/>
    <col min="5" max="5" width="13.453125" style="18" customWidth="1"/>
    <col min="6" max="6" width="13.6328125" style="18" customWidth="1"/>
    <col min="7" max="7" width="12.36328125" style="18" customWidth="1"/>
    <col min="8" max="8" width="9.6328125" style="18" customWidth="1"/>
    <col min="9" max="9" width="12.453125" style="18" customWidth="1"/>
    <col min="10" max="10" width="11.36328125" style="18" customWidth="1"/>
    <col min="11" max="11" width="11.08984375" style="18" customWidth="1"/>
    <col min="12" max="12" width="12.54296875" style="18" customWidth="1"/>
    <col min="13" max="13" width="8.453125" style="18" bestFit="1" customWidth="1"/>
    <col min="14" max="14" width="14.453125" style="18" customWidth="1"/>
    <col min="15" max="15" width="11.54296875" style="18" customWidth="1"/>
    <col min="16" max="16" width="12.54296875" style="18" customWidth="1"/>
    <col min="17" max="17" width="13.36328125" style="18" customWidth="1"/>
    <col min="18" max="18" width="13.90625" style="18" customWidth="1"/>
    <col min="19" max="19" width="16.54296875" style="18" bestFit="1" customWidth="1"/>
    <col min="20" max="20" width="16.453125" style="18" bestFit="1" customWidth="1"/>
    <col min="21" max="21" width="18.6328125" style="18" customWidth="1"/>
    <col min="22" max="22" width="12.90625" style="18" customWidth="1"/>
    <col min="23" max="23" width="17.36328125" style="18" customWidth="1"/>
    <col min="24" max="16384" width="9.08984375" style="18"/>
  </cols>
  <sheetData>
    <row r="1" spans="1:27" ht="14.4" customHeight="1" x14ac:dyDescent="0.3">
      <c r="A1" s="947" t="s">
        <v>56</v>
      </c>
      <c r="B1" s="947"/>
      <c r="C1" s="947"/>
      <c r="D1" s="947"/>
      <c r="E1" s="947"/>
      <c r="F1" s="947"/>
      <c r="G1" s="947"/>
      <c r="H1" s="947"/>
      <c r="I1" s="947"/>
      <c r="J1" s="947"/>
      <c r="K1" s="947"/>
      <c r="L1" s="947"/>
      <c r="M1" s="947"/>
      <c r="N1" s="947"/>
      <c r="O1" s="947"/>
      <c r="P1" s="947"/>
      <c r="Q1" s="947"/>
      <c r="R1" s="947"/>
      <c r="S1" s="947"/>
      <c r="T1" s="947"/>
      <c r="U1" s="947"/>
      <c r="V1" s="947"/>
      <c r="W1" s="947"/>
      <c r="X1" s="947"/>
      <c r="Y1" s="947"/>
      <c r="Z1" s="947"/>
      <c r="AA1" s="947"/>
    </row>
    <row r="2" spans="1:27" ht="14.4" customHeight="1" x14ac:dyDescent="0.3">
      <c r="A2" s="947"/>
      <c r="B2" s="947"/>
      <c r="C2" s="947"/>
      <c r="D2" s="947"/>
      <c r="E2" s="947"/>
      <c r="F2" s="947"/>
      <c r="G2" s="947"/>
      <c r="H2" s="947"/>
      <c r="I2" s="947"/>
      <c r="J2" s="947"/>
      <c r="K2" s="947"/>
      <c r="L2" s="947"/>
      <c r="M2" s="947"/>
      <c r="N2" s="947"/>
      <c r="O2" s="947"/>
      <c r="P2" s="947"/>
      <c r="Q2" s="947"/>
      <c r="R2" s="947"/>
      <c r="S2" s="947"/>
      <c r="T2" s="947"/>
      <c r="U2" s="947"/>
      <c r="V2" s="947"/>
      <c r="W2" s="947"/>
      <c r="X2" s="947"/>
      <c r="Y2" s="947"/>
      <c r="Z2" s="947"/>
      <c r="AA2" s="947"/>
    </row>
    <row r="3" spans="1:27" ht="14.4" customHeight="1" x14ac:dyDescent="0.3">
      <c r="A3" s="947"/>
      <c r="B3" s="947"/>
      <c r="C3" s="947"/>
      <c r="D3" s="947"/>
      <c r="E3" s="947"/>
      <c r="F3" s="947"/>
      <c r="G3" s="947"/>
      <c r="H3" s="947"/>
      <c r="I3" s="947"/>
      <c r="J3" s="947"/>
      <c r="K3" s="947"/>
      <c r="L3" s="947"/>
      <c r="M3" s="947"/>
      <c r="N3" s="947"/>
      <c r="O3" s="947"/>
      <c r="P3" s="947"/>
      <c r="Q3" s="947"/>
      <c r="R3" s="947"/>
      <c r="S3" s="947"/>
      <c r="T3" s="947"/>
      <c r="U3" s="947"/>
      <c r="V3" s="947"/>
      <c r="W3" s="947"/>
      <c r="X3" s="947"/>
      <c r="Y3" s="947"/>
      <c r="Z3" s="947"/>
      <c r="AA3" s="947"/>
    </row>
    <row r="4" spans="1:27" ht="14.4" customHeight="1" x14ac:dyDescent="0.3">
      <c r="A4" s="947"/>
      <c r="B4" s="947"/>
      <c r="C4" s="947"/>
      <c r="D4" s="947"/>
      <c r="E4" s="947"/>
      <c r="F4" s="947"/>
      <c r="G4" s="947"/>
      <c r="H4" s="947"/>
      <c r="I4" s="947"/>
      <c r="J4" s="947"/>
      <c r="K4" s="947"/>
      <c r="L4" s="947"/>
      <c r="M4" s="947"/>
      <c r="N4" s="947"/>
      <c r="O4" s="947"/>
      <c r="P4" s="947"/>
      <c r="Q4" s="947"/>
      <c r="R4" s="947"/>
      <c r="S4" s="947"/>
      <c r="T4" s="947"/>
      <c r="U4" s="947"/>
      <c r="V4" s="947"/>
      <c r="W4" s="947"/>
      <c r="X4" s="947"/>
      <c r="Y4" s="947"/>
      <c r="Z4" s="947"/>
      <c r="AA4" s="947"/>
    </row>
    <row r="5" spans="1:27" ht="14.4" customHeight="1" x14ac:dyDescent="0.3">
      <c r="A5" s="947"/>
      <c r="B5" s="947"/>
      <c r="C5" s="947"/>
      <c r="D5" s="947"/>
      <c r="E5" s="947"/>
      <c r="F5" s="947"/>
      <c r="G5" s="947"/>
      <c r="H5" s="947"/>
      <c r="I5" s="947"/>
      <c r="J5" s="947"/>
      <c r="K5" s="947"/>
      <c r="L5" s="947"/>
      <c r="M5" s="947"/>
      <c r="N5" s="947"/>
      <c r="O5" s="947"/>
      <c r="P5" s="947"/>
      <c r="Q5" s="947"/>
      <c r="R5" s="947"/>
      <c r="S5" s="947"/>
      <c r="T5" s="947"/>
      <c r="U5" s="947"/>
      <c r="V5" s="947"/>
      <c r="W5" s="947"/>
      <c r="X5" s="947"/>
      <c r="Y5" s="947"/>
      <c r="Z5" s="947"/>
      <c r="AA5" s="947"/>
    </row>
    <row r="7" spans="1:27" ht="13.5" thickBot="1" x14ac:dyDescent="0.35"/>
    <row r="8" spans="1:27" s="183" customFormat="1" ht="65.5" thickBot="1" x14ac:dyDescent="0.35">
      <c r="A8" s="177"/>
      <c r="B8" s="178" t="s">
        <v>81</v>
      </c>
      <c r="C8" s="179" t="s">
        <v>82</v>
      </c>
      <c r="D8" s="180" t="s">
        <v>57</v>
      </c>
      <c r="E8" s="180" t="s">
        <v>58</v>
      </c>
      <c r="F8" s="180" t="s">
        <v>59</v>
      </c>
      <c r="G8" s="180" t="s">
        <v>60</v>
      </c>
      <c r="H8" s="180" t="s">
        <v>61</v>
      </c>
      <c r="I8" s="181" t="s">
        <v>62</v>
      </c>
      <c r="J8" s="181" t="s">
        <v>63</v>
      </c>
      <c r="K8" s="181" t="s">
        <v>64</v>
      </c>
      <c r="L8" s="180" t="s">
        <v>65</v>
      </c>
      <c r="M8" s="180" t="s">
        <v>66</v>
      </c>
      <c r="N8" s="180" t="s">
        <v>68</v>
      </c>
      <c r="O8" s="181" t="s">
        <v>79</v>
      </c>
      <c r="P8" s="180" t="s">
        <v>70</v>
      </c>
      <c r="Q8" s="180" t="s">
        <v>69</v>
      </c>
      <c r="R8" s="180" t="s">
        <v>71</v>
      </c>
      <c r="S8" s="180" t="s">
        <v>72</v>
      </c>
      <c r="T8" s="180" t="s">
        <v>78</v>
      </c>
      <c r="U8" s="180" t="s">
        <v>77</v>
      </c>
      <c r="V8" s="181" t="s">
        <v>71</v>
      </c>
      <c r="W8" s="180" t="s">
        <v>80</v>
      </c>
      <c r="X8" s="180" t="s">
        <v>73</v>
      </c>
      <c r="Y8" s="180" t="s">
        <v>74</v>
      </c>
      <c r="Z8" s="180" t="s">
        <v>75</v>
      </c>
      <c r="AA8" s="182" t="s">
        <v>76</v>
      </c>
    </row>
    <row r="9" spans="1:27" x14ac:dyDescent="0.3">
      <c r="A9" s="19" t="s">
        <v>36</v>
      </c>
      <c r="B9" s="160">
        <v>6195</v>
      </c>
      <c r="C9" s="161">
        <f>B9-SUM(D9:AA9)</f>
        <v>3016</v>
      </c>
      <c r="D9" s="161">
        <v>13</v>
      </c>
      <c r="E9" s="161">
        <v>10</v>
      </c>
      <c r="F9" s="161">
        <v>13</v>
      </c>
      <c r="G9" s="161">
        <v>473</v>
      </c>
      <c r="H9" s="161">
        <v>339</v>
      </c>
      <c r="I9" s="161">
        <v>43</v>
      </c>
      <c r="J9" s="161">
        <v>34</v>
      </c>
      <c r="K9" s="161">
        <v>3</v>
      </c>
      <c r="L9" s="161">
        <v>12</v>
      </c>
      <c r="M9" s="161">
        <v>5</v>
      </c>
      <c r="N9" s="161">
        <v>56</v>
      </c>
      <c r="O9" s="161">
        <v>726</v>
      </c>
      <c r="P9" s="161">
        <v>171</v>
      </c>
      <c r="Q9" s="161">
        <v>50</v>
      </c>
      <c r="R9" s="161">
        <v>252</v>
      </c>
      <c r="S9" s="161">
        <v>59</v>
      </c>
      <c r="W9" s="161">
        <v>524</v>
      </c>
      <c r="X9" s="161">
        <v>77</v>
      </c>
      <c r="Y9" s="161">
        <v>27</v>
      </c>
      <c r="Z9" s="161">
        <v>3</v>
      </c>
      <c r="AA9" s="160">
        <v>289</v>
      </c>
    </row>
    <row r="10" spans="1:27" x14ac:dyDescent="0.3">
      <c r="A10" s="19" t="s">
        <v>37</v>
      </c>
      <c r="B10" s="160">
        <f>SUM(C10:AA10)</f>
        <v>17591</v>
      </c>
      <c r="C10" s="18">
        <v>862</v>
      </c>
      <c r="D10" s="161">
        <v>14</v>
      </c>
      <c r="E10" s="161">
        <v>1</v>
      </c>
      <c r="F10" s="161">
        <v>31</v>
      </c>
      <c r="G10" s="161">
        <v>2539</v>
      </c>
      <c r="H10" s="161">
        <v>2283</v>
      </c>
      <c r="I10" s="161">
        <v>273</v>
      </c>
      <c r="J10" s="161">
        <v>340</v>
      </c>
      <c r="K10" s="161">
        <f>9+134</f>
        <v>143</v>
      </c>
      <c r="L10" s="161">
        <v>209</v>
      </c>
      <c r="M10" s="161">
        <v>297</v>
      </c>
      <c r="N10" s="161">
        <v>293</v>
      </c>
      <c r="O10" s="161">
        <v>1804</v>
      </c>
      <c r="P10" s="161">
        <v>864</v>
      </c>
      <c r="Q10" s="161">
        <f>220+63</f>
        <v>283</v>
      </c>
      <c r="S10" s="161">
        <v>437</v>
      </c>
      <c r="T10" s="161">
        <v>1596</v>
      </c>
      <c r="U10" s="161">
        <v>2673</v>
      </c>
      <c r="V10" s="18">
        <v>334</v>
      </c>
      <c r="W10" s="161">
        <v>1522</v>
      </c>
      <c r="X10" s="161">
        <v>41</v>
      </c>
      <c r="Y10" s="161">
        <v>32</v>
      </c>
      <c r="Z10" s="161">
        <v>20</v>
      </c>
      <c r="AA10" s="160">
        <v>700</v>
      </c>
    </row>
    <row r="11" spans="1:27" ht="13.5" thickBot="1" x14ac:dyDescent="0.35">
      <c r="A11" s="162" t="s">
        <v>38</v>
      </c>
      <c r="B11" s="163">
        <f>SUM(C11:AA11)</f>
        <v>10623</v>
      </c>
      <c r="C11" s="164">
        <v>1448</v>
      </c>
      <c r="D11" s="164">
        <v>8</v>
      </c>
      <c r="E11" s="164">
        <v>4</v>
      </c>
      <c r="F11" s="164">
        <v>3</v>
      </c>
      <c r="G11" s="164">
        <v>8</v>
      </c>
      <c r="H11" s="164">
        <v>2035</v>
      </c>
      <c r="I11" s="164">
        <v>1094</v>
      </c>
      <c r="J11" s="164">
        <v>62</v>
      </c>
      <c r="K11" s="164">
        <v>12</v>
      </c>
      <c r="L11" s="164">
        <v>488</v>
      </c>
      <c r="M11" s="164">
        <v>1237</v>
      </c>
      <c r="N11" s="164">
        <v>93</v>
      </c>
      <c r="O11" s="164">
        <v>20</v>
      </c>
      <c r="P11" s="164">
        <v>27</v>
      </c>
      <c r="Q11" s="164">
        <v>126</v>
      </c>
      <c r="R11" s="164">
        <v>1356</v>
      </c>
      <c r="S11" s="164">
        <v>24</v>
      </c>
      <c r="T11" s="164">
        <v>139</v>
      </c>
      <c r="U11" s="164">
        <v>49</v>
      </c>
      <c r="V11" s="164">
        <v>53</v>
      </c>
      <c r="W11" s="164">
        <v>1741</v>
      </c>
      <c r="X11" s="164">
        <v>25</v>
      </c>
      <c r="Y11" s="164">
        <v>6</v>
      </c>
      <c r="Z11" s="164">
        <v>2</v>
      </c>
      <c r="AA11" s="163">
        <v>563</v>
      </c>
    </row>
    <row r="13" spans="1:27" x14ac:dyDescent="0.3">
      <c r="C13" s="161"/>
    </row>
    <row r="14" spans="1:27" x14ac:dyDescent="0.3">
      <c r="N14" s="165"/>
    </row>
    <row r="31" spans="4:28" ht="13.5" thickBot="1" x14ac:dyDescent="0.35"/>
    <row r="32" spans="4:28" ht="65.5" thickBot="1" x14ac:dyDescent="0.35">
      <c r="D32" s="156" t="s">
        <v>82</v>
      </c>
      <c r="E32" s="158" t="s">
        <v>57</v>
      </c>
      <c r="F32" s="158" t="s">
        <v>58</v>
      </c>
      <c r="G32" s="158" t="s">
        <v>59</v>
      </c>
      <c r="H32" s="158" t="s">
        <v>60</v>
      </c>
      <c r="I32" s="158" t="s">
        <v>61</v>
      </c>
      <c r="J32" s="157" t="s">
        <v>62</v>
      </c>
      <c r="K32" s="157" t="s">
        <v>63</v>
      </c>
      <c r="L32" s="157" t="s">
        <v>64</v>
      </c>
      <c r="M32" s="158" t="s">
        <v>65</v>
      </c>
      <c r="N32" s="158" t="s">
        <v>66</v>
      </c>
      <c r="O32" s="158" t="s">
        <v>68</v>
      </c>
      <c r="P32" s="157" t="s">
        <v>79</v>
      </c>
      <c r="Q32" s="158" t="s">
        <v>70</v>
      </c>
      <c r="R32" s="158" t="s">
        <v>69</v>
      </c>
      <c r="S32" s="158" t="s">
        <v>71</v>
      </c>
      <c r="T32" s="158" t="s">
        <v>72</v>
      </c>
      <c r="U32" s="158" t="s">
        <v>78</v>
      </c>
      <c r="V32" s="158" t="s">
        <v>77</v>
      </c>
      <c r="W32" s="157" t="s">
        <v>71</v>
      </c>
      <c r="X32" s="158" t="s">
        <v>80</v>
      </c>
      <c r="Y32" s="158" t="s">
        <v>73</v>
      </c>
      <c r="Z32" s="158" t="s">
        <v>74</v>
      </c>
      <c r="AA32" s="158" t="s">
        <v>75</v>
      </c>
      <c r="AB32" s="159" t="s">
        <v>76</v>
      </c>
    </row>
    <row r="33" spans="3:28" x14ac:dyDescent="0.3">
      <c r="C33" s="166" t="s">
        <v>36</v>
      </c>
      <c r="D33" s="161">
        <v>3016</v>
      </c>
      <c r="E33" s="161">
        <v>13</v>
      </c>
      <c r="F33" s="161">
        <v>10</v>
      </c>
      <c r="G33" s="161">
        <v>13</v>
      </c>
      <c r="H33" s="161">
        <v>473</v>
      </c>
      <c r="I33" s="161">
        <v>339</v>
      </c>
      <c r="J33" s="161">
        <v>43</v>
      </c>
      <c r="K33" s="161">
        <v>34</v>
      </c>
      <c r="L33" s="161">
        <v>3</v>
      </c>
      <c r="M33" s="161">
        <v>12</v>
      </c>
      <c r="N33" s="161">
        <v>5</v>
      </c>
      <c r="O33" s="161">
        <v>56</v>
      </c>
      <c r="P33" s="161">
        <v>726</v>
      </c>
      <c r="Q33" s="161">
        <v>171</v>
      </c>
      <c r="R33" s="161">
        <v>50</v>
      </c>
      <c r="S33" s="161">
        <v>252</v>
      </c>
      <c r="T33" s="161">
        <v>59</v>
      </c>
      <c r="X33" s="161">
        <v>524</v>
      </c>
      <c r="Y33" s="161">
        <v>77</v>
      </c>
      <c r="Z33" s="161">
        <v>27</v>
      </c>
      <c r="AA33" s="161">
        <v>3</v>
      </c>
      <c r="AB33" s="160">
        <v>289</v>
      </c>
    </row>
    <row r="34" spans="3:28" x14ac:dyDescent="0.3">
      <c r="C34" s="167" t="s">
        <v>37</v>
      </c>
      <c r="D34" s="161">
        <v>862</v>
      </c>
      <c r="E34" s="161">
        <v>14</v>
      </c>
      <c r="F34" s="161">
        <v>1</v>
      </c>
      <c r="G34" s="161">
        <v>31</v>
      </c>
      <c r="H34" s="161">
        <v>2539</v>
      </c>
      <c r="I34" s="161">
        <v>2283</v>
      </c>
      <c r="J34" s="161">
        <v>273</v>
      </c>
      <c r="K34" s="161">
        <v>340</v>
      </c>
      <c r="L34" s="161">
        <f>9+134</f>
        <v>143</v>
      </c>
      <c r="M34" s="161">
        <v>209</v>
      </c>
      <c r="N34" s="161">
        <v>297</v>
      </c>
      <c r="O34" s="161">
        <v>293</v>
      </c>
      <c r="P34" s="161">
        <v>1804</v>
      </c>
      <c r="Q34" s="161">
        <v>864</v>
      </c>
      <c r="R34" s="161">
        <f>220+63</f>
        <v>283</v>
      </c>
      <c r="T34" s="161">
        <v>437</v>
      </c>
      <c r="U34" s="161">
        <v>1596</v>
      </c>
      <c r="V34" s="161">
        <v>2673</v>
      </c>
      <c r="W34" s="18">
        <v>334</v>
      </c>
      <c r="X34" s="161">
        <v>1522</v>
      </c>
      <c r="Y34" s="161">
        <v>41</v>
      </c>
      <c r="Z34" s="161">
        <v>32</v>
      </c>
      <c r="AA34" s="161">
        <v>20</v>
      </c>
      <c r="AB34" s="160">
        <v>700</v>
      </c>
    </row>
    <row r="35" spans="3:28" ht="13.5" thickBot="1" x14ac:dyDescent="0.35">
      <c r="C35" s="168" t="s">
        <v>38</v>
      </c>
      <c r="D35" s="164">
        <v>1448</v>
      </c>
      <c r="E35" s="164">
        <v>8</v>
      </c>
      <c r="F35" s="164">
        <v>4</v>
      </c>
      <c r="G35" s="164">
        <v>3</v>
      </c>
      <c r="H35" s="164">
        <v>8</v>
      </c>
      <c r="I35" s="164">
        <v>2035</v>
      </c>
      <c r="J35" s="164">
        <v>1094</v>
      </c>
      <c r="K35" s="164">
        <v>62</v>
      </c>
      <c r="L35" s="164">
        <v>12</v>
      </c>
      <c r="M35" s="164">
        <v>488</v>
      </c>
      <c r="N35" s="164">
        <v>1237</v>
      </c>
      <c r="O35" s="164">
        <v>93</v>
      </c>
      <c r="P35" s="164">
        <v>20</v>
      </c>
      <c r="Q35" s="164">
        <v>27</v>
      </c>
      <c r="R35" s="164">
        <v>126</v>
      </c>
      <c r="S35" s="164">
        <v>1356</v>
      </c>
      <c r="T35" s="164">
        <v>24</v>
      </c>
      <c r="U35" s="164">
        <v>139</v>
      </c>
      <c r="V35" s="164">
        <v>49</v>
      </c>
      <c r="W35" s="164">
        <v>53</v>
      </c>
      <c r="X35" s="164">
        <v>1741</v>
      </c>
      <c r="Y35" s="164">
        <v>25</v>
      </c>
      <c r="Z35" s="164">
        <v>6</v>
      </c>
      <c r="AA35" s="164">
        <v>2</v>
      </c>
      <c r="AB35" s="163">
        <v>563</v>
      </c>
    </row>
    <row r="36" spans="3:28" ht="13.5" thickBot="1" x14ac:dyDescent="0.35">
      <c r="C36" s="169" t="s">
        <v>13</v>
      </c>
      <c r="D36" s="170">
        <f>SUM(D33:D35)</f>
        <v>5326</v>
      </c>
      <c r="E36" s="171">
        <f t="shared" ref="E36:AB36" si="0">SUM(E33:E35)</f>
        <v>35</v>
      </c>
      <c r="F36" s="171">
        <f t="shared" si="0"/>
        <v>15</v>
      </c>
      <c r="G36" s="171">
        <f t="shared" si="0"/>
        <v>47</v>
      </c>
      <c r="H36" s="171">
        <f t="shared" si="0"/>
        <v>3020</v>
      </c>
      <c r="I36" s="171">
        <f t="shared" si="0"/>
        <v>4657</v>
      </c>
      <c r="J36" s="171">
        <f t="shared" si="0"/>
        <v>1410</v>
      </c>
      <c r="K36" s="171">
        <f t="shared" si="0"/>
        <v>436</v>
      </c>
      <c r="L36" s="171">
        <f t="shared" si="0"/>
        <v>158</v>
      </c>
      <c r="M36" s="171">
        <f t="shared" si="0"/>
        <v>709</v>
      </c>
      <c r="N36" s="171">
        <f t="shared" si="0"/>
        <v>1539</v>
      </c>
      <c r="O36" s="171">
        <f t="shared" si="0"/>
        <v>442</v>
      </c>
      <c r="P36" s="171">
        <f t="shared" si="0"/>
        <v>2550</v>
      </c>
      <c r="Q36" s="171">
        <f t="shared" si="0"/>
        <v>1062</v>
      </c>
      <c r="R36" s="171">
        <f t="shared" si="0"/>
        <v>459</v>
      </c>
      <c r="S36" s="171">
        <f t="shared" si="0"/>
        <v>1608</v>
      </c>
      <c r="T36" s="171">
        <f t="shared" si="0"/>
        <v>520</v>
      </c>
      <c r="U36" s="171">
        <f t="shared" si="0"/>
        <v>1735</v>
      </c>
      <c r="V36" s="171">
        <f t="shared" si="0"/>
        <v>2722</v>
      </c>
      <c r="W36" s="171">
        <f t="shared" si="0"/>
        <v>387</v>
      </c>
      <c r="X36" s="171">
        <f t="shared" si="0"/>
        <v>3787</v>
      </c>
      <c r="Y36" s="171">
        <f t="shared" si="0"/>
        <v>143</v>
      </c>
      <c r="Z36" s="171">
        <f t="shared" si="0"/>
        <v>65</v>
      </c>
      <c r="AA36" s="171">
        <f t="shared" si="0"/>
        <v>25</v>
      </c>
      <c r="AB36" s="172">
        <f t="shared" si="0"/>
        <v>1552</v>
      </c>
    </row>
    <row r="65" spans="3:28" x14ac:dyDescent="0.3">
      <c r="C65" s="174" t="s">
        <v>83</v>
      </c>
    </row>
    <row r="66" spans="3:28" ht="13.5" thickBot="1" x14ac:dyDescent="0.35"/>
    <row r="67" spans="3:28" ht="65.5" thickBot="1" x14ac:dyDescent="0.35">
      <c r="D67" s="156" t="s">
        <v>67</v>
      </c>
      <c r="E67" s="158" t="s">
        <v>57</v>
      </c>
      <c r="F67" s="158" t="s">
        <v>58</v>
      </c>
      <c r="G67" s="158" t="s">
        <v>59</v>
      </c>
      <c r="H67" s="158" t="s">
        <v>60</v>
      </c>
      <c r="I67" s="158" t="s">
        <v>61</v>
      </c>
      <c r="J67" s="157" t="s">
        <v>62</v>
      </c>
      <c r="K67" s="157" t="s">
        <v>63</v>
      </c>
      <c r="L67" s="157" t="s">
        <v>64</v>
      </c>
      <c r="M67" s="158" t="s">
        <v>65</v>
      </c>
      <c r="N67" s="158" t="s">
        <v>66</v>
      </c>
      <c r="O67" s="158" t="s">
        <v>68</v>
      </c>
      <c r="P67" s="157" t="s">
        <v>79</v>
      </c>
      <c r="Q67" s="158" t="s">
        <v>70</v>
      </c>
      <c r="R67" s="158" t="s">
        <v>69</v>
      </c>
      <c r="S67" s="158" t="s">
        <v>71</v>
      </c>
      <c r="T67" s="158" t="s">
        <v>72</v>
      </c>
      <c r="U67" s="158" t="s">
        <v>78</v>
      </c>
      <c r="V67" s="158" t="s">
        <v>77</v>
      </c>
      <c r="W67" s="157" t="s">
        <v>71</v>
      </c>
      <c r="X67" s="158" t="s">
        <v>80</v>
      </c>
      <c r="Y67" s="158" t="s">
        <v>73</v>
      </c>
      <c r="Z67" s="158" t="s">
        <v>74</v>
      </c>
      <c r="AA67" s="158" t="s">
        <v>75</v>
      </c>
      <c r="AB67" s="159" t="s">
        <v>76</v>
      </c>
    </row>
    <row r="68" spans="3:28" x14ac:dyDescent="0.3">
      <c r="C68" s="18" t="s">
        <v>84</v>
      </c>
      <c r="D68" s="18">
        <v>5326</v>
      </c>
      <c r="E68" s="18">
        <v>35</v>
      </c>
      <c r="F68" s="18">
        <v>15</v>
      </c>
      <c r="G68" s="18">
        <v>47</v>
      </c>
      <c r="H68" s="18">
        <v>3020</v>
      </c>
      <c r="I68" s="18">
        <v>4657</v>
      </c>
      <c r="J68" s="18">
        <v>1410</v>
      </c>
      <c r="K68" s="18">
        <v>436</v>
      </c>
      <c r="L68" s="18">
        <v>158</v>
      </c>
      <c r="M68" s="18">
        <v>709</v>
      </c>
      <c r="N68" s="18">
        <v>1539</v>
      </c>
      <c r="O68" s="18">
        <v>442</v>
      </c>
      <c r="P68" s="18">
        <v>2550</v>
      </c>
      <c r="Q68" s="18">
        <v>1062</v>
      </c>
      <c r="R68" s="18">
        <v>459</v>
      </c>
      <c r="S68" s="18">
        <v>1608</v>
      </c>
      <c r="T68" s="18">
        <v>520</v>
      </c>
      <c r="U68" s="18">
        <v>1735</v>
      </c>
      <c r="V68" s="18">
        <v>2722</v>
      </c>
      <c r="W68" s="18">
        <v>387</v>
      </c>
      <c r="X68" s="18">
        <v>3787</v>
      </c>
      <c r="Y68" s="18">
        <v>143</v>
      </c>
      <c r="Z68" s="18">
        <v>65</v>
      </c>
      <c r="AA68" s="18">
        <v>25</v>
      </c>
      <c r="AB68" s="18">
        <v>1552</v>
      </c>
    </row>
    <row r="69" spans="3:28" ht="13.5" thickBot="1" x14ac:dyDescent="0.35"/>
    <row r="70" spans="3:28" ht="13.5" thickBot="1" x14ac:dyDescent="0.35">
      <c r="D70" s="175" t="s">
        <v>90</v>
      </c>
      <c r="E70" s="176" t="s">
        <v>91</v>
      </c>
    </row>
    <row r="71" spans="3:28" x14ac:dyDescent="0.3">
      <c r="D71" s="152" t="s">
        <v>85</v>
      </c>
      <c r="E71" s="153">
        <f>SUM(O68:X68)</f>
        <v>15272</v>
      </c>
    </row>
    <row r="72" spans="3:28" x14ac:dyDescent="0.3">
      <c r="D72" s="118" t="s">
        <v>86</v>
      </c>
      <c r="E72" s="154">
        <f>SUM(M68:N68)</f>
        <v>2248</v>
      </c>
    </row>
    <row r="73" spans="3:28" x14ac:dyDescent="0.3">
      <c r="D73" s="118" t="s">
        <v>24</v>
      </c>
      <c r="E73" s="154">
        <f>SUM(H68:J68)</f>
        <v>9087</v>
      </c>
    </row>
    <row r="74" spans="3:28" x14ac:dyDescent="0.3">
      <c r="D74" s="118" t="s">
        <v>67</v>
      </c>
      <c r="E74" s="154">
        <f>SUM(D68)</f>
        <v>5326</v>
      </c>
    </row>
    <row r="75" spans="3:28" x14ac:dyDescent="0.3">
      <c r="D75" s="118" t="s">
        <v>88</v>
      </c>
      <c r="E75" s="154">
        <f>SUM(E68:G68)</f>
        <v>97</v>
      </c>
    </row>
    <row r="76" spans="3:28" x14ac:dyDescent="0.3">
      <c r="D76" s="118" t="s">
        <v>87</v>
      </c>
      <c r="E76" s="154">
        <f>SUM(AA68,Z68,Y68,L68)</f>
        <v>391</v>
      </c>
      <c r="Q76" s="173"/>
    </row>
    <row r="77" spans="3:28" ht="52.5" thickBot="1" x14ac:dyDescent="0.35">
      <c r="D77" s="126" t="s">
        <v>89</v>
      </c>
      <c r="E77" s="155">
        <v>1552</v>
      </c>
    </row>
  </sheetData>
  <mergeCells count="1">
    <mergeCell ref="A1:AA5"/>
  </mergeCells>
  <pageMargins left="0.7" right="0.7" top="0.75" bottom="0.75" header="0.3" footer="0.3"/>
  <pageSetup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19F1A-D238-4036-8A31-95BF8C468732}">
  <sheetPr>
    <tabColor rgb="FF00B0F0"/>
  </sheetPr>
  <dimension ref="B1:P62"/>
  <sheetViews>
    <sheetView workbookViewId="0">
      <selection sqref="A1:XFD1048576"/>
    </sheetView>
  </sheetViews>
  <sheetFormatPr defaultColWidth="8.90625" defaultRowHeight="11.5" x14ac:dyDescent="0.25"/>
  <cols>
    <col min="1" max="2" width="8.90625" style="15"/>
    <col min="3" max="3" width="26.453125" style="15" bestFit="1" customWidth="1"/>
    <col min="4" max="4" width="11.6328125" style="15" bestFit="1" customWidth="1"/>
    <col min="5" max="5" width="14.36328125" style="15" bestFit="1" customWidth="1"/>
    <col min="6" max="6" width="8.90625" style="15"/>
    <col min="7" max="8" width="11.90625" style="15" customWidth="1"/>
    <col min="9" max="9" width="10.90625" style="15" customWidth="1"/>
    <col min="10" max="10" width="8.90625" style="15"/>
    <col min="11" max="11" width="12.08984375" style="15" bestFit="1" customWidth="1"/>
    <col min="12" max="12" width="14.08984375" style="15" customWidth="1"/>
    <col min="13" max="13" width="21.54296875" style="15" customWidth="1"/>
    <col min="14" max="14" width="11.08984375" style="15" bestFit="1" customWidth="1"/>
    <col min="15" max="16" width="12.453125" style="15" bestFit="1" customWidth="1"/>
    <col min="17" max="16384" width="8.90625" style="15"/>
  </cols>
  <sheetData>
    <row r="1" spans="2:16" ht="12" thickBot="1" x14ac:dyDescent="0.3"/>
    <row r="2" spans="2:16" x14ac:dyDescent="0.25">
      <c r="B2" s="184" t="s">
        <v>264</v>
      </c>
      <c r="C2" s="185"/>
      <c r="D2" s="186">
        <f>SUM(D4:D11)</f>
        <v>331</v>
      </c>
      <c r="E2" s="186">
        <f t="shared" ref="E2:I2" si="0">SUM(E4:E11)</f>
        <v>92</v>
      </c>
      <c r="F2" s="186">
        <f t="shared" si="0"/>
        <v>52</v>
      </c>
      <c r="G2" s="186">
        <f t="shared" si="0"/>
        <v>39</v>
      </c>
      <c r="H2" s="186">
        <f t="shared" si="0"/>
        <v>50</v>
      </c>
      <c r="I2" s="186">
        <f t="shared" si="0"/>
        <v>99</v>
      </c>
      <c r="K2" s="17"/>
      <c r="L2" s="17"/>
      <c r="M2" s="17"/>
      <c r="N2" s="17"/>
      <c r="O2" s="17"/>
      <c r="P2" s="17"/>
    </row>
    <row r="3" spans="2:16" x14ac:dyDescent="0.25">
      <c r="B3" s="187" t="s">
        <v>218</v>
      </c>
      <c r="C3" s="188" t="s">
        <v>219</v>
      </c>
      <c r="D3" s="188" t="s">
        <v>220</v>
      </c>
      <c r="E3" s="188" t="s">
        <v>221</v>
      </c>
      <c r="F3" s="188" t="s">
        <v>222</v>
      </c>
      <c r="G3" s="188" t="s">
        <v>223</v>
      </c>
      <c r="H3" s="188" t="s">
        <v>224</v>
      </c>
      <c r="I3" s="189" t="s">
        <v>225</v>
      </c>
      <c r="K3" s="188" t="s">
        <v>219</v>
      </c>
      <c r="L3" s="188" t="s">
        <v>221</v>
      </c>
      <c r="M3" s="188" t="s">
        <v>222</v>
      </c>
      <c r="N3" s="188" t="s">
        <v>223</v>
      </c>
      <c r="O3" s="188" t="s">
        <v>224</v>
      </c>
      <c r="P3" s="189" t="s">
        <v>225</v>
      </c>
    </row>
    <row r="4" spans="2:16" x14ac:dyDescent="0.25">
      <c r="B4" s="190">
        <v>1</v>
      </c>
      <c r="C4" s="191" t="s">
        <v>226</v>
      </c>
      <c r="D4" s="192">
        <v>122</v>
      </c>
      <c r="E4" s="193">
        <v>46</v>
      </c>
      <c r="F4" s="193">
        <v>30</v>
      </c>
      <c r="G4" s="193">
        <v>20</v>
      </c>
      <c r="H4" s="193">
        <v>22</v>
      </c>
      <c r="I4" s="194">
        <v>4</v>
      </c>
      <c r="K4" s="191" t="s">
        <v>226</v>
      </c>
      <c r="L4" s="193">
        <v>46</v>
      </c>
      <c r="M4" s="193">
        <v>30</v>
      </c>
      <c r="N4" s="193">
        <v>20</v>
      </c>
      <c r="O4" s="193">
        <v>22</v>
      </c>
      <c r="P4" s="194">
        <v>4</v>
      </c>
    </row>
    <row r="5" spans="2:16" x14ac:dyDescent="0.25">
      <c r="B5" s="190">
        <f>B4+1</f>
        <v>2</v>
      </c>
      <c r="C5" s="191" t="s">
        <v>227</v>
      </c>
      <c r="D5" s="192">
        <v>43</v>
      </c>
      <c r="E5" s="193">
        <v>9</v>
      </c>
      <c r="F5" s="193">
        <v>4</v>
      </c>
      <c r="G5" s="193">
        <v>5</v>
      </c>
      <c r="H5" s="193">
        <v>7</v>
      </c>
      <c r="I5" s="194">
        <v>18</v>
      </c>
      <c r="K5" s="191" t="s">
        <v>227</v>
      </c>
      <c r="L5" s="193">
        <v>9</v>
      </c>
      <c r="M5" s="193">
        <v>4</v>
      </c>
      <c r="N5" s="193">
        <v>5</v>
      </c>
      <c r="O5" s="193">
        <v>7</v>
      </c>
      <c r="P5" s="194">
        <v>18</v>
      </c>
    </row>
    <row r="6" spans="2:16" x14ac:dyDescent="0.25">
      <c r="B6" s="190">
        <f t="shared" ref="B6:B9" si="1">B5+1</f>
        <v>3</v>
      </c>
      <c r="C6" s="195" t="s">
        <v>228</v>
      </c>
      <c r="D6" s="192">
        <v>121</v>
      </c>
      <c r="E6" s="193">
        <v>22</v>
      </c>
      <c r="F6" s="193">
        <v>14</v>
      </c>
      <c r="G6" s="193">
        <v>6</v>
      </c>
      <c r="H6" s="193">
        <v>15</v>
      </c>
      <c r="I6" s="194">
        <v>64</v>
      </c>
      <c r="K6" s="195" t="s">
        <v>228</v>
      </c>
      <c r="L6" s="193">
        <v>22</v>
      </c>
      <c r="M6" s="193">
        <v>14</v>
      </c>
      <c r="N6" s="193">
        <v>6</v>
      </c>
      <c r="O6" s="193">
        <v>15</v>
      </c>
      <c r="P6" s="194">
        <v>64</v>
      </c>
    </row>
    <row r="7" spans="2:16" x14ac:dyDescent="0.25">
      <c r="B7" s="190">
        <f t="shared" si="1"/>
        <v>4</v>
      </c>
      <c r="C7" s="191" t="s">
        <v>229</v>
      </c>
      <c r="D7" s="192">
        <v>14</v>
      </c>
      <c r="E7" s="193">
        <v>4</v>
      </c>
      <c r="F7" s="193">
        <v>1</v>
      </c>
      <c r="G7" s="193">
        <v>4</v>
      </c>
      <c r="H7" s="193">
        <v>2</v>
      </c>
      <c r="I7" s="194">
        <v>3</v>
      </c>
      <c r="K7" s="191" t="s">
        <v>229</v>
      </c>
      <c r="L7" s="193">
        <v>4</v>
      </c>
      <c r="M7" s="193">
        <v>1</v>
      </c>
      <c r="N7" s="193">
        <v>4</v>
      </c>
      <c r="O7" s="193">
        <v>2</v>
      </c>
      <c r="P7" s="194">
        <v>3</v>
      </c>
    </row>
    <row r="8" spans="2:16" x14ac:dyDescent="0.25">
      <c r="B8" s="190">
        <f t="shared" si="1"/>
        <v>5</v>
      </c>
      <c r="C8" s="191" t="s">
        <v>230</v>
      </c>
      <c r="D8" s="192">
        <v>20</v>
      </c>
      <c r="E8" s="193">
        <v>4</v>
      </c>
      <c r="F8" s="193">
        <v>3</v>
      </c>
      <c r="G8" s="193">
        <v>3</v>
      </c>
      <c r="H8" s="193">
        <v>4</v>
      </c>
      <c r="I8" s="194">
        <v>7</v>
      </c>
      <c r="K8" s="191" t="s">
        <v>230</v>
      </c>
      <c r="L8" s="193">
        <v>4</v>
      </c>
      <c r="M8" s="193">
        <v>3</v>
      </c>
      <c r="N8" s="193">
        <v>3</v>
      </c>
      <c r="O8" s="193">
        <v>4</v>
      </c>
      <c r="P8" s="194">
        <v>7</v>
      </c>
    </row>
    <row r="9" spans="2:16" x14ac:dyDescent="0.25">
      <c r="B9" s="190">
        <f t="shared" si="1"/>
        <v>6</v>
      </c>
      <c r="C9" s="191" t="s">
        <v>231</v>
      </c>
      <c r="D9" s="192">
        <v>6</v>
      </c>
      <c r="E9" s="193">
        <v>2</v>
      </c>
      <c r="F9" s="193"/>
      <c r="G9" s="193">
        <v>1</v>
      </c>
      <c r="H9" s="193"/>
      <c r="I9" s="194">
        <v>3</v>
      </c>
      <c r="K9" s="191" t="s">
        <v>231</v>
      </c>
      <c r="L9" s="193">
        <v>2</v>
      </c>
      <c r="M9" s="193"/>
      <c r="N9" s="193">
        <v>1</v>
      </c>
      <c r="O9" s="193"/>
      <c r="P9" s="194">
        <v>3</v>
      </c>
    </row>
    <row r="10" spans="2:16" x14ac:dyDescent="0.25">
      <c r="B10" s="190">
        <v>2</v>
      </c>
      <c r="C10" s="191" t="s">
        <v>232</v>
      </c>
      <c r="D10" s="192">
        <v>4</v>
      </c>
      <c r="E10" s="193">
        <v>4</v>
      </c>
      <c r="F10" s="193"/>
      <c r="G10" s="193"/>
      <c r="H10" s="193"/>
      <c r="I10" s="194"/>
      <c r="K10" s="191" t="s">
        <v>232</v>
      </c>
      <c r="L10" s="193">
        <v>4</v>
      </c>
      <c r="M10" s="193"/>
      <c r="N10" s="193"/>
      <c r="O10" s="193"/>
      <c r="P10" s="194"/>
    </row>
    <row r="11" spans="2:16" ht="12" thickBot="1" x14ac:dyDescent="0.3">
      <c r="B11" s="196">
        <f>B10+1</f>
        <v>3</v>
      </c>
      <c r="C11" s="197" t="s">
        <v>233</v>
      </c>
      <c r="D11" s="198">
        <v>1</v>
      </c>
      <c r="E11" s="199">
        <v>1</v>
      </c>
      <c r="F11" s="199"/>
      <c r="G11" s="199"/>
      <c r="H11" s="199"/>
      <c r="I11" s="200"/>
      <c r="K11" s="197" t="s">
        <v>233</v>
      </c>
      <c r="L11" s="199">
        <v>1</v>
      </c>
      <c r="M11" s="199"/>
      <c r="N11" s="199"/>
      <c r="O11" s="199"/>
      <c r="P11" s="200"/>
    </row>
    <row r="12" spans="2:16" ht="12" thickBot="1" x14ac:dyDescent="0.3">
      <c r="B12" s="201"/>
      <c r="C12" s="202"/>
      <c r="D12" s="201"/>
      <c r="E12" s="201"/>
      <c r="F12" s="201"/>
      <c r="G12" s="201"/>
      <c r="H12" s="201"/>
      <c r="I12" s="201"/>
    </row>
    <row r="13" spans="2:16" x14ac:dyDescent="0.25">
      <c r="B13" s="203" t="s">
        <v>166</v>
      </c>
      <c r="C13" s="204"/>
      <c r="D13" s="205">
        <f>SUM(D15:D30)</f>
        <v>5829</v>
      </c>
      <c r="E13" s="205">
        <f t="shared" ref="E13:I13" si="2">SUM(E15:E30)</f>
        <v>2294</v>
      </c>
      <c r="F13" s="205">
        <f t="shared" si="2"/>
        <v>2</v>
      </c>
      <c r="G13" s="205">
        <f t="shared" si="2"/>
        <v>0</v>
      </c>
      <c r="H13" s="205">
        <f t="shared" si="2"/>
        <v>0</v>
      </c>
      <c r="I13" s="206">
        <f t="shared" si="2"/>
        <v>0</v>
      </c>
      <c r="K13" s="16"/>
      <c r="L13" s="16" t="s">
        <v>268</v>
      </c>
      <c r="M13" s="16" t="s">
        <v>269</v>
      </c>
      <c r="N13" s="16" t="s">
        <v>266</v>
      </c>
      <c r="O13" s="16" t="s">
        <v>270</v>
      </c>
      <c r="P13" s="17"/>
    </row>
    <row r="14" spans="2:16" x14ac:dyDescent="0.25">
      <c r="B14" s="187" t="s">
        <v>218</v>
      </c>
      <c r="C14" s="188" t="s">
        <v>219</v>
      </c>
      <c r="D14" s="188" t="s">
        <v>220</v>
      </c>
      <c r="E14" s="188" t="s">
        <v>221</v>
      </c>
      <c r="F14" s="188" t="s">
        <v>222</v>
      </c>
      <c r="G14" s="188" t="s">
        <v>223</v>
      </c>
      <c r="H14" s="188" t="s">
        <v>224</v>
      </c>
      <c r="I14" s="189" t="s">
        <v>225</v>
      </c>
      <c r="K14" s="207" t="s">
        <v>271</v>
      </c>
      <c r="L14" s="207">
        <v>331</v>
      </c>
      <c r="M14" s="207">
        <v>5829</v>
      </c>
      <c r="N14" s="207">
        <v>145</v>
      </c>
      <c r="O14" s="207">
        <v>3</v>
      </c>
    </row>
    <row r="15" spans="2:16" x14ac:dyDescent="0.25">
      <c r="B15" s="190">
        <v>1</v>
      </c>
      <c r="C15" s="208" t="s">
        <v>234</v>
      </c>
      <c r="D15" s="193">
        <v>2579</v>
      </c>
      <c r="E15" s="193">
        <v>719</v>
      </c>
      <c r="F15" s="193"/>
      <c r="G15" s="193"/>
      <c r="H15" s="193"/>
      <c r="I15" s="194"/>
    </row>
    <row r="16" spans="2:16" x14ac:dyDescent="0.25">
      <c r="B16" s="190">
        <f>B15+1</f>
        <v>2</v>
      </c>
      <c r="C16" s="208" t="s">
        <v>235</v>
      </c>
      <c r="D16" s="193">
        <v>1705</v>
      </c>
      <c r="E16" s="193">
        <v>526</v>
      </c>
      <c r="F16" s="193"/>
      <c r="G16" s="193"/>
      <c r="H16" s="193"/>
      <c r="I16" s="194"/>
    </row>
    <row r="17" spans="2:9" x14ac:dyDescent="0.25">
      <c r="B17" s="190">
        <f t="shared" ref="B17:B30" si="3">B16+1</f>
        <v>3</v>
      </c>
      <c r="C17" s="208" t="s">
        <v>236</v>
      </c>
      <c r="D17" s="192">
        <v>348</v>
      </c>
      <c r="E17" s="193">
        <v>294</v>
      </c>
      <c r="F17" s="193"/>
      <c r="G17" s="193"/>
      <c r="H17" s="193"/>
      <c r="I17" s="194"/>
    </row>
    <row r="18" spans="2:9" x14ac:dyDescent="0.25">
      <c r="B18" s="190">
        <f t="shared" si="3"/>
        <v>4</v>
      </c>
      <c r="C18" s="208" t="s">
        <v>237</v>
      </c>
      <c r="D18" s="192">
        <v>203</v>
      </c>
      <c r="E18" s="193">
        <v>198</v>
      </c>
      <c r="F18" s="193"/>
      <c r="G18" s="193"/>
      <c r="H18" s="193"/>
      <c r="I18" s="194"/>
    </row>
    <row r="19" spans="2:9" x14ac:dyDescent="0.25">
      <c r="B19" s="190">
        <f t="shared" si="3"/>
        <v>5</v>
      </c>
      <c r="C19" s="208" t="s">
        <v>238</v>
      </c>
      <c r="D19" s="192">
        <v>382</v>
      </c>
      <c r="E19" s="193">
        <v>112</v>
      </c>
      <c r="F19" s="193"/>
      <c r="G19" s="193"/>
      <c r="H19" s="193"/>
      <c r="I19" s="194"/>
    </row>
    <row r="20" spans="2:9" x14ac:dyDescent="0.25">
      <c r="B20" s="190">
        <f t="shared" si="3"/>
        <v>6</v>
      </c>
      <c r="C20" s="208" t="s">
        <v>239</v>
      </c>
      <c r="D20" s="192">
        <v>188</v>
      </c>
      <c r="E20" s="193">
        <v>118</v>
      </c>
      <c r="F20" s="193"/>
      <c r="G20" s="193"/>
      <c r="H20" s="193"/>
      <c r="I20" s="194"/>
    </row>
    <row r="21" spans="2:9" x14ac:dyDescent="0.25">
      <c r="B21" s="190">
        <f t="shared" si="3"/>
        <v>7</v>
      </c>
      <c r="C21" s="209" t="s">
        <v>240</v>
      </c>
      <c r="D21" s="192">
        <v>127</v>
      </c>
      <c r="E21" s="193">
        <v>125</v>
      </c>
      <c r="F21" s="193">
        <v>2</v>
      </c>
      <c r="G21" s="193"/>
      <c r="H21" s="193"/>
      <c r="I21" s="194"/>
    </row>
    <row r="22" spans="2:9" x14ac:dyDescent="0.25">
      <c r="B22" s="190">
        <f t="shared" si="3"/>
        <v>8</v>
      </c>
      <c r="C22" s="209" t="s">
        <v>241</v>
      </c>
      <c r="D22" s="192">
        <v>54</v>
      </c>
      <c r="E22" s="193"/>
      <c r="F22" s="193"/>
      <c r="G22" s="193"/>
      <c r="H22" s="193"/>
      <c r="I22" s="194"/>
    </row>
    <row r="23" spans="2:9" x14ac:dyDescent="0.25">
      <c r="B23" s="190">
        <f t="shared" si="3"/>
        <v>9</v>
      </c>
      <c r="C23" s="209" t="s">
        <v>242</v>
      </c>
      <c r="D23" s="192">
        <v>94</v>
      </c>
      <c r="E23" s="193">
        <v>94</v>
      </c>
      <c r="F23" s="193"/>
      <c r="G23" s="193"/>
      <c r="H23" s="193"/>
      <c r="I23" s="194"/>
    </row>
    <row r="24" spans="2:9" x14ac:dyDescent="0.25">
      <c r="B24" s="190">
        <f t="shared" si="3"/>
        <v>10</v>
      </c>
      <c r="C24" s="208" t="s">
        <v>243</v>
      </c>
      <c r="D24" s="192">
        <v>99</v>
      </c>
      <c r="E24" s="193">
        <v>99</v>
      </c>
      <c r="F24" s="193"/>
      <c r="G24" s="193"/>
      <c r="H24" s="193"/>
      <c r="I24" s="194"/>
    </row>
    <row r="25" spans="2:9" x14ac:dyDescent="0.25">
      <c r="B25" s="190">
        <f t="shared" si="3"/>
        <v>11</v>
      </c>
      <c r="C25" s="208" t="s">
        <v>244</v>
      </c>
      <c r="D25" s="192">
        <v>42</v>
      </c>
      <c r="E25" s="193">
        <v>1</v>
      </c>
      <c r="F25" s="193"/>
      <c r="G25" s="193"/>
      <c r="H25" s="193"/>
      <c r="I25" s="194"/>
    </row>
    <row r="26" spans="2:9" x14ac:dyDescent="0.25">
      <c r="B26" s="190">
        <f t="shared" si="3"/>
        <v>12</v>
      </c>
      <c r="C26" s="208" t="s">
        <v>245</v>
      </c>
      <c r="D26" s="192">
        <v>4</v>
      </c>
      <c r="E26" s="193">
        <v>4</v>
      </c>
      <c r="F26" s="193"/>
      <c r="G26" s="193"/>
      <c r="H26" s="193"/>
      <c r="I26" s="194"/>
    </row>
    <row r="27" spans="2:9" x14ac:dyDescent="0.25">
      <c r="B27" s="190">
        <f t="shared" si="3"/>
        <v>13</v>
      </c>
      <c r="C27" s="208" t="s">
        <v>246</v>
      </c>
      <c r="D27" s="192">
        <v>1</v>
      </c>
      <c r="E27" s="193">
        <v>1</v>
      </c>
      <c r="F27" s="193"/>
      <c r="G27" s="193"/>
      <c r="H27" s="193"/>
      <c r="I27" s="194"/>
    </row>
    <row r="28" spans="2:9" x14ac:dyDescent="0.25">
      <c r="B28" s="190">
        <f t="shared" si="3"/>
        <v>14</v>
      </c>
      <c r="C28" s="208" t="s">
        <v>247</v>
      </c>
      <c r="D28" s="192">
        <v>1</v>
      </c>
      <c r="E28" s="193">
        <v>1</v>
      </c>
      <c r="F28" s="193"/>
      <c r="G28" s="193"/>
      <c r="H28" s="193"/>
      <c r="I28" s="194"/>
    </row>
    <row r="29" spans="2:9" x14ac:dyDescent="0.25">
      <c r="B29" s="190">
        <f t="shared" si="3"/>
        <v>15</v>
      </c>
      <c r="C29" s="208" t="s">
        <v>248</v>
      </c>
      <c r="D29" s="192">
        <v>1</v>
      </c>
      <c r="E29" s="193">
        <v>1</v>
      </c>
      <c r="F29" s="193"/>
      <c r="G29" s="193"/>
      <c r="H29" s="193"/>
      <c r="I29" s="194"/>
    </row>
    <row r="30" spans="2:9" ht="12" thickBot="1" x14ac:dyDescent="0.3">
      <c r="B30" s="196">
        <f t="shared" si="3"/>
        <v>16</v>
      </c>
      <c r="C30" s="210" t="s">
        <v>249</v>
      </c>
      <c r="D30" s="198">
        <v>1</v>
      </c>
      <c r="E30" s="199">
        <v>1</v>
      </c>
      <c r="F30" s="199"/>
      <c r="G30" s="199"/>
      <c r="H30" s="199"/>
      <c r="I30" s="200"/>
    </row>
    <row r="31" spans="2:9" ht="15.65" customHeight="1" thickBot="1" x14ac:dyDescent="0.3"/>
    <row r="32" spans="2:9" x14ac:dyDescent="0.25">
      <c r="B32" s="211" t="s">
        <v>263</v>
      </c>
      <c r="C32" s="212"/>
      <c r="D32" s="213">
        <f>SUM(D33:D62)</f>
        <v>145</v>
      </c>
      <c r="E32" s="213">
        <f t="shared" ref="E32:I32" si="4">SUM(E33:E45)</f>
        <v>0</v>
      </c>
      <c r="F32" s="213">
        <f t="shared" si="4"/>
        <v>0</v>
      </c>
      <c r="G32" s="213">
        <f t="shared" si="4"/>
        <v>0</v>
      </c>
      <c r="H32" s="213">
        <f t="shared" si="4"/>
        <v>0</v>
      </c>
      <c r="I32" s="213">
        <f t="shared" si="4"/>
        <v>0</v>
      </c>
    </row>
    <row r="33" spans="2:10" x14ac:dyDescent="0.25">
      <c r="B33" s="190">
        <v>17</v>
      </c>
      <c r="C33" s="214" t="s">
        <v>250</v>
      </c>
      <c r="D33" s="215">
        <v>6</v>
      </c>
      <c r="E33" s="193"/>
      <c r="F33" s="193"/>
      <c r="G33" s="193"/>
      <c r="H33" s="193"/>
      <c r="I33" s="194"/>
    </row>
    <row r="34" spans="2:10" x14ac:dyDescent="0.25">
      <c r="B34" s="190">
        <f t="shared" ref="B34:B45" si="5">B33+1</f>
        <v>18</v>
      </c>
      <c r="C34" s="216" t="s">
        <v>251</v>
      </c>
      <c r="D34" s="215">
        <v>5</v>
      </c>
      <c r="E34" s="193"/>
      <c r="F34" s="193"/>
      <c r="G34" s="193"/>
      <c r="H34" s="193"/>
      <c r="I34" s="194"/>
    </row>
    <row r="35" spans="2:10" x14ac:dyDescent="0.25">
      <c r="B35" s="190">
        <f t="shared" si="5"/>
        <v>19</v>
      </c>
      <c r="C35" s="217" t="s">
        <v>252</v>
      </c>
      <c r="D35" s="215">
        <v>3</v>
      </c>
      <c r="E35" s="193"/>
      <c r="F35" s="193"/>
      <c r="G35" s="193"/>
      <c r="H35" s="193"/>
      <c r="I35" s="194"/>
    </row>
    <row r="36" spans="2:10" x14ac:dyDescent="0.25">
      <c r="B36" s="190">
        <f t="shared" si="5"/>
        <v>20</v>
      </c>
      <c r="C36" s="214" t="s">
        <v>253</v>
      </c>
      <c r="D36" s="215">
        <v>5</v>
      </c>
      <c r="E36" s="193"/>
      <c r="F36" s="193"/>
      <c r="G36" s="193"/>
      <c r="H36" s="193"/>
      <c r="I36" s="194"/>
    </row>
    <row r="37" spans="2:10" x14ac:dyDescent="0.25">
      <c r="B37" s="190">
        <f t="shared" si="5"/>
        <v>21</v>
      </c>
      <c r="C37" s="214" t="s">
        <v>254</v>
      </c>
      <c r="D37" s="215">
        <v>3</v>
      </c>
      <c r="E37" s="193"/>
      <c r="F37" s="193"/>
      <c r="G37" s="193"/>
      <c r="H37" s="193"/>
      <c r="I37" s="194"/>
    </row>
    <row r="38" spans="2:10" x14ac:dyDescent="0.25">
      <c r="B38" s="190">
        <f t="shared" si="5"/>
        <v>22</v>
      </c>
      <c r="C38" s="214" t="s">
        <v>255</v>
      </c>
      <c r="D38" s="215">
        <v>3</v>
      </c>
      <c r="E38" s="193"/>
      <c r="F38" s="193"/>
      <c r="G38" s="193"/>
      <c r="H38" s="193"/>
      <c r="I38" s="194"/>
    </row>
    <row r="39" spans="2:10" x14ac:dyDescent="0.25">
      <c r="B39" s="190">
        <f t="shared" si="5"/>
        <v>23</v>
      </c>
      <c r="C39" s="214" t="s">
        <v>256</v>
      </c>
      <c r="D39" s="215">
        <v>3</v>
      </c>
      <c r="E39" s="193"/>
      <c r="F39" s="193"/>
      <c r="G39" s="193"/>
      <c r="H39" s="193"/>
      <c r="I39" s="194"/>
    </row>
    <row r="40" spans="2:10" x14ac:dyDescent="0.25">
      <c r="B40" s="190">
        <f t="shared" si="5"/>
        <v>24</v>
      </c>
      <c r="C40" s="214" t="s">
        <v>257</v>
      </c>
      <c r="D40" s="215">
        <v>1</v>
      </c>
      <c r="E40" s="193"/>
      <c r="F40" s="193"/>
      <c r="G40" s="193"/>
      <c r="H40" s="193"/>
      <c r="I40" s="194"/>
    </row>
    <row r="41" spans="2:10" x14ac:dyDescent="0.25">
      <c r="B41" s="190">
        <f t="shared" si="5"/>
        <v>25</v>
      </c>
      <c r="C41" s="217" t="s">
        <v>258</v>
      </c>
      <c r="D41" s="215">
        <v>1</v>
      </c>
      <c r="E41" s="193"/>
      <c r="F41" s="193"/>
      <c r="G41" s="193"/>
      <c r="H41" s="193"/>
      <c r="I41" s="194"/>
    </row>
    <row r="42" spans="2:10" x14ac:dyDescent="0.25">
      <c r="B42" s="190">
        <f t="shared" si="5"/>
        <v>26</v>
      </c>
      <c r="C42" s="217" t="s">
        <v>259</v>
      </c>
      <c r="D42" s="215">
        <v>1</v>
      </c>
      <c r="E42" s="193"/>
      <c r="F42" s="193"/>
      <c r="G42" s="193"/>
      <c r="H42" s="193"/>
      <c r="I42" s="194"/>
    </row>
    <row r="43" spans="2:10" x14ac:dyDescent="0.25">
      <c r="B43" s="190">
        <f t="shared" si="5"/>
        <v>27</v>
      </c>
      <c r="C43" s="214" t="s">
        <v>260</v>
      </c>
      <c r="D43" s="215">
        <v>1</v>
      </c>
      <c r="E43" s="193"/>
      <c r="F43" s="193"/>
      <c r="G43" s="193"/>
      <c r="H43" s="193"/>
      <c r="I43" s="194"/>
    </row>
    <row r="44" spans="2:10" x14ac:dyDescent="0.25">
      <c r="B44" s="190">
        <f t="shared" si="5"/>
        <v>28</v>
      </c>
      <c r="C44" s="214" t="s">
        <v>261</v>
      </c>
      <c r="D44" s="215">
        <v>2</v>
      </c>
      <c r="E44" s="193"/>
      <c r="F44" s="193"/>
      <c r="G44" s="193"/>
      <c r="H44" s="193"/>
      <c r="I44" s="194"/>
    </row>
    <row r="45" spans="2:10" ht="12" thickBot="1" x14ac:dyDescent="0.3">
      <c r="B45" s="196">
        <f t="shared" si="5"/>
        <v>29</v>
      </c>
      <c r="C45" s="218" t="s">
        <v>262</v>
      </c>
      <c r="D45" s="219">
        <v>3</v>
      </c>
      <c r="E45" s="199"/>
      <c r="F45" s="199"/>
      <c r="G45" s="199"/>
      <c r="H45" s="199"/>
      <c r="I45" s="200"/>
    </row>
    <row r="46" spans="2:10" ht="12" thickBot="1" x14ac:dyDescent="0.3">
      <c r="B46" s="220"/>
      <c r="C46" s="185"/>
      <c r="D46" s="185"/>
      <c r="E46" s="185"/>
      <c r="F46" s="185"/>
      <c r="G46" s="185"/>
      <c r="H46" s="185"/>
      <c r="I46" s="221"/>
    </row>
    <row r="47" spans="2:10" x14ac:dyDescent="0.25">
      <c r="B47" s="222">
        <v>30</v>
      </c>
      <c r="C47" s="223" t="s">
        <v>272</v>
      </c>
      <c r="D47" s="224">
        <v>26</v>
      </c>
      <c r="E47" s="224">
        <v>26</v>
      </c>
      <c r="F47" s="225"/>
      <c r="G47" s="225"/>
      <c r="H47" s="225"/>
      <c r="I47" s="226"/>
      <c r="J47" s="227"/>
    </row>
    <row r="48" spans="2:10" x14ac:dyDescent="0.25">
      <c r="B48" s="228">
        <v>31</v>
      </c>
      <c r="C48" s="229" t="s">
        <v>273</v>
      </c>
      <c r="D48" s="230">
        <v>5</v>
      </c>
      <c r="E48" s="230">
        <v>5</v>
      </c>
      <c r="F48" s="231"/>
      <c r="G48" s="231"/>
      <c r="H48" s="231"/>
      <c r="I48" s="232"/>
      <c r="J48" s="227"/>
    </row>
    <row r="49" spans="2:10" x14ac:dyDescent="0.25">
      <c r="B49" s="228">
        <v>32</v>
      </c>
      <c r="C49" s="214" t="s">
        <v>274</v>
      </c>
      <c r="D49" s="233">
        <v>25</v>
      </c>
      <c r="E49" s="233">
        <v>25</v>
      </c>
      <c r="F49" s="231"/>
      <c r="G49" s="231"/>
      <c r="H49" s="231"/>
      <c r="I49" s="232"/>
      <c r="J49" s="234"/>
    </row>
    <row r="50" spans="2:10" x14ac:dyDescent="0.25">
      <c r="B50" s="228">
        <v>33</v>
      </c>
      <c r="C50" s="214" t="s">
        <v>275</v>
      </c>
      <c r="D50" s="233">
        <v>8</v>
      </c>
      <c r="E50" s="233">
        <v>8</v>
      </c>
      <c r="F50" s="231"/>
      <c r="G50" s="231"/>
      <c r="H50" s="231"/>
      <c r="I50" s="232"/>
      <c r="J50" s="234"/>
    </row>
    <row r="51" spans="2:10" x14ac:dyDescent="0.25">
      <c r="B51" s="228">
        <v>34</v>
      </c>
      <c r="C51" s="214" t="s">
        <v>276</v>
      </c>
      <c r="D51" s="233">
        <v>4</v>
      </c>
      <c r="E51" s="233">
        <v>4</v>
      </c>
      <c r="F51" s="231"/>
      <c r="G51" s="231"/>
      <c r="H51" s="231"/>
      <c r="I51" s="232"/>
      <c r="J51" s="234"/>
    </row>
    <row r="52" spans="2:10" x14ac:dyDescent="0.25">
      <c r="B52" s="228">
        <v>35</v>
      </c>
      <c r="C52" s="214" t="s">
        <v>277</v>
      </c>
      <c r="D52" s="233">
        <v>1</v>
      </c>
      <c r="E52" s="233">
        <v>1</v>
      </c>
      <c r="F52" s="231"/>
      <c r="G52" s="231"/>
      <c r="H52" s="231"/>
      <c r="I52" s="232"/>
      <c r="J52" s="234"/>
    </row>
    <row r="53" spans="2:10" x14ac:dyDescent="0.25">
      <c r="B53" s="228">
        <v>36</v>
      </c>
      <c r="C53" s="214" t="s">
        <v>278</v>
      </c>
      <c r="D53" s="233">
        <v>2</v>
      </c>
      <c r="E53" s="233">
        <v>2</v>
      </c>
      <c r="F53" s="231"/>
      <c r="G53" s="231"/>
      <c r="H53" s="231"/>
      <c r="I53" s="232"/>
      <c r="J53" s="234"/>
    </row>
    <row r="54" spans="2:10" x14ac:dyDescent="0.25">
      <c r="B54" s="228">
        <v>37</v>
      </c>
      <c r="C54" s="214" t="s">
        <v>279</v>
      </c>
      <c r="D54" s="233">
        <v>1</v>
      </c>
      <c r="E54" s="233">
        <v>1</v>
      </c>
      <c r="F54" s="231"/>
      <c r="G54" s="231"/>
      <c r="H54" s="231"/>
      <c r="I54" s="232"/>
      <c r="J54" s="234"/>
    </row>
    <row r="55" spans="2:10" x14ac:dyDescent="0.25">
      <c r="B55" s="228">
        <v>38</v>
      </c>
      <c r="C55" s="214" t="s">
        <v>280</v>
      </c>
      <c r="D55" s="233">
        <v>1</v>
      </c>
      <c r="E55" s="233">
        <v>1</v>
      </c>
      <c r="F55" s="231"/>
      <c r="G55" s="231"/>
      <c r="H55" s="231"/>
      <c r="I55" s="232"/>
      <c r="J55" s="234"/>
    </row>
    <row r="56" spans="2:10" x14ac:dyDescent="0.25">
      <c r="B56" s="228">
        <v>39</v>
      </c>
      <c r="C56" s="214" t="s">
        <v>281</v>
      </c>
      <c r="D56" s="233">
        <v>2</v>
      </c>
      <c r="E56" s="233">
        <v>2</v>
      </c>
      <c r="F56" s="231"/>
      <c r="G56" s="231"/>
      <c r="H56" s="231"/>
      <c r="I56" s="232"/>
      <c r="J56" s="234"/>
    </row>
    <row r="57" spans="2:10" x14ac:dyDescent="0.25">
      <c r="B57" s="228">
        <v>40</v>
      </c>
      <c r="C57" s="214" t="s">
        <v>282</v>
      </c>
      <c r="D57" s="233">
        <v>1</v>
      </c>
      <c r="E57" s="233">
        <v>1</v>
      </c>
      <c r="F57" s="231"/>
      <c r="G57" s="231"/>
      <c r="H57" s="231"/>
      <c r="I57" s="232"/>
      <c r="J57" s="234"/>
    </row>
    <row r="58" spans="2:10" x14ac:dyDescent="0.25">
      <c r="B58" s="228">
        <v>41</v>
      </c>
      <c r="C58" s="214" t="s">
        <v>283</v>
      </c>
      <c r="D58" s="233">
        <v>4</v>
      </c>
      <c r="E58" s="233">
        <v>4</v>
      </c>
      <c r="F58" s="231"/>
      <c r="G58" s="231"/>
      <c r="H58" s="231"/>
      <c r="I58" s="232"/>
      <c r="J58" s="234"/>
    </row>
    <row r="59" spans="2:10" x14ac:dyDescent="0.25">
      <c r="B59" s="228">
        <v>42</v>
      </c>
      <c r="C59" s="214" t="s">
        <v>284</v>
      </c>
      <c r="D59" s="233">
        <v>25</v>
      </c>
      <c r="E59" s="233">
        <v>25</v>
      </c>
      <c r="F59" s="231"/>
      <c r="G59" s="231"/>
      <c r="H59" s="231"/>
      <c r="I59" s="232"/>
      <c r="J59" s="234"/>
    </row>
    <row r="60" spans="2:10" x14ac:dyDescent="0.25">
      <c r="B60" s="228">
        <v>43</v>
      </c>
      <c r="C60" s="235" t="s">
        <v>285</v>
      </c>
      <c r="D60" s="233">
        <v>1</v>
      </c>
      <c r="E60" s="233">
        <v>1</v>
      </c>
      <c r="F60" s="231"/>
      <c r="G60" s="231"/>
      <c r="H60" s="231"/>
      <c r="I60" s="232"/>
      <c r="J60" s="234"/>
    </row>
    <row r="61" spans="2:10" x14ac:dyDescent="0.25">
      <c r="B61" s="228">
        <v>44</v>
      </c>
      <c r="C61" s="235" t="s">
        <v>286</v>
      </c>
      <c r="D61" s="233">
        <v>1</v>
      </c>
      <c r="E61" s="233">
        <v>1</v>
      </c>
      <c r="F61" s="231"/>
      <c r="G61" s="231"/>
      <c r="H61" s="231"/>
      <c r="I61" s="232"/>
      <c r="J61" s="234"/>
    </row>
    <row r="62" spans="2:10" ht="12" thickBot="1" x14ac:dyDescent="0.3">
      <c r="B62" s="236">
        <v>45</v>
      </c>
      <c r="C62" s="237" t="s">
        <v>287</v>
      </c>
      <c r="D62" s="238">
        <v>1</v>
      </c>
      <c r="E62" s="238">
        <v>1</v>
      </c>
      <c r="F62" s="239"/>
      <c r="G62" s="239"/>
      <c r="H62" s="239"/>
      <c r="I62" s="240"/>
      <c r="J62" s="234"/>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5230-3A08-4937-9557-7583B17389F3}">
  <sheetPr>
    <tabColor theme="9" tint="-0.499984740745262"/>
  </sheetPr>
  <dimension ref="B1:I21"/>
  <sheetViews>
    <sheetView zoomScaleNormal="100" workbookViewId="0">
      <selection activeCell="F8" sqref="F8"/>
    </sheetView>
  </sheetViews>
  <sheetFormatPr defaultColWidth="9.08984375" defaultRowHeight="14" x14ac:dyDescent="0.3"/>
  <cols>
    <col min="1" max="1" width="6.36328125" style="1" customWidth="1"/>
    <col min="2" max="2" width="23.453125" style="1" customWidth="1"/>
    <col min="3" max="3" width="28.6328125" style="1" customWidth="1"/>
    <col min="4" max="4" width="33.6328125" style="241" customWidth="1"/>
    <col min="5" max="5" width="28.08984375" style="1" customWidth="1"/>
    <col min="6" max="7" width="25.36328125" style="1" customWidth="1"/>
    <col min="8" max="8" width="24.36328125" style="1" customWidth="1"/>
    <col min="9" max="9" width="26.6328125" style="1" customWidth="1"/>
    <col min="10" max="16384" width="9.08984375" style="1"/>
  </cols>
  <sheetData>
    <row r="1" spans="2:9" ht="14.5" thickBot="1" x14ac:dyDescent="0.35"/>
    <row r="2" spans="2:9" x14ac:dyDescent="0.3">
      <c r="B2" s="948" t="s">
        <v>106</v>
      </c>
      <c r="C2" s="949"/>
      <c r="D2" s="949"/>
      <c r="E2" s="949"/>
      <c r="F2" s="949"/>
      <c r="G2" s="949"/>
      <c r="H2" s="949"/>
      <c r="I2" s="950"/>
    </row>
    <row r="3" spans="2:9" x14ac:dyDescent="0.3">
      <c r="B3" s="242" t="s">
        <v>114</v>
      </c>
      <c r="C3" s="243" t="s">
        <v>85</v>
      </c>
      <c r="D3" s="243" t="s">
        <v>119</v>
      </c>
      <c r="E3" s="243" t="s">
        <v>120</v>
      </c>
      <c r="F3" s="243" t="s">
        <v>24</v>
      </c>
      <c r="G3" s="243" t="s">
        <v>88</v>
      </c>
      <c r="H3" s="243" t="s">
        <v>118</v>
      </c>
      <c r="I3" s="244" t="s">
        <v>115</v>
      </c>
    </row>
    <row r="4" spans="2:9" ht="57.5" x14ac:dyDescent="0.3">
      <c r="B4" s="245" t="s">
        <v>107</v>
      </c>
      <c r="C4" s="246" t="s">
        <v>125</v>
      </c>
      <c r="D4" s="247" t="s">
        <v>126</v>
      </c>
      <c r="E4" s="246" t="s">
        <v>136</v>
      </c>
      <c r="F4" s="248" t="s">
        <v>143</v>
      </c>
      <c r="G4" s="249" t="s">
        <v>148</v>
      </c>
      <c r="H4" s="249" t="s">
        <v>156</v>
      </c>
      <c r="I4" s="250" t="s">
        <v>152</v>
      </c>
    </row>
    <row r="5" spans="2:9" ht="57.65" customHeight="1" x14ac:dyDescent="0.3">
      <c r="B5" s="245" t="s">
        <v>108</v>
      </c>
      <c r="C5" s="251" t="s">
        <v>123</v>
      </c>
      <c r="D5" s="252" t="s">
        <v>116</v>
      </c>
      <c r="E5" s="251" t="s">
        <v>137</v>
      </c>
      <c r="F5" s="248" t="s">
        <v>144</v>
      </c>
      <c r="G5" s="253" t="s">
        <v>149</v>
      </c>
      <c r="H5" s="253" t="s">
        <v>157</v>
      </c>
      <c r="I5" s="250" t="s">
        <v>153</v>
      </c>
    </row>
    <row r="6" spans="2:9" ht="29.4" customHeight="1" x14ac:dyDescent="0.3">
      <c r="B6" s="245" t="s">
        <v>145</v>
      </c>
      <c r="C6" s="251" t="s">
        <v>124</v>
      </c>
      <c r="D6" s="252" t="s">
        <v>117</v>
      </c>
      <c r="E6" s="251" t="s">
        <v>138</v>
      </c>
      <c r="F6" s="254" t="s">
        <v>146</v>
      </c>
      <c r="G6" s="253" t="s">
        <v>150</v>
      </c>
      <c r="H6" s="255" t="s">
        <v>155</v>
      </c>
      <c r="I6" s="256" t="s">
        <v>154</v>
      </c>
    </row>
    <row r="7" spans="2:9" ht="69" x14ac:dyDescent="0.3">
      <c r="B7" s="245" t="s">
        <v>109</v>
      </c>
      <c r="C7" s="246" t="s">
        <v>110</v>
      </c>
      <c r="D7" s="247" t="s">
        <v>127</v>
      </c>
      <c r="E7" s="246" t="s">
        <v>139</v>
      </c>
      <c r="F7" s="257"/>
      <c r="G7" s="246" t="s">
        <v>139</v>
      </c>
      <c r="H7" s="258"/>
      <c r="I7" s="259" t="s">
        <v>151</v>
      </c>
    </row>
    <row r="8" spans="2:9" ht="23" x14ac:dyDescent="0.3">
      <c r="B8" s="245" t="s">
        <v>111</v>
      </c>
      <c r="C8" s="246" t="s">
        <v>128</v>
      </c>
      <c r="D8" s="252" t="s">
        <v>122</v>
      </c>
      <c r="E8" s="251" t="s">
        <v>140</v>
      </c>
      <c r="F8" s="257"/>
      <c r="G8" s="246" t="s">
        <v>128</v>
      </c>
      <c r="H8" s="258"/>
      <c r="I8" s="260" t="s">
        <v>140</v>
      </c>
    </row>
    <row r="9" spans="2:9" x14ac:dyDescent="0.3">
      <c r="B9" s="245" t="s">
        <v>131</v>
      </c>
      <c r="C9" s="246"/>
      <c r="D9" s="261" t="s">
        <v>133</v>
      </c>
      <c r="E9" s="257"/>
      <c r="F9" s="257" t="s">
        <v>147</v>
      </c>
      <c r="G9" s="258"/>
      <c r="H9" s="258"/>
      <c r="I9" s="262"/>
    </row>
    <row r="10" spans="2:9" ht="23" x14ac:dyDescent="0.3">
      <c r="B10" s="245" t="s">
        <v>130</v>
      </c>
      <c r="C10" s="252" t="s">
        <v>134</v>
      </c>
      <c r="D10" s="252" t="s">
        <v>134</v>
      </c>
      <c r="E10" s="251" t="s">
        <v>141</v>
      </c>
      <c r="F10" s="257"/>
      <c r="G10" s="252" t="s">
        <v>134</v>
      </c>
      <c r="H10" s="258"/>
      <c r="I10" s="262"/>
    </row>
    <row r="11" spans="2:9" x14ac:dyDescent="0.3">
      <c r="B11" s="245" t="s">
        <v>129</v>
      </c>
      <c r="C11" s="246" t="s">
        <v>135</v>
      </c>
      <c r="D11" s="252"/>
      <c r="E11" s="251"/>
      <c r="F11" s="257"/>
      <c r="G11" s="258"/>
      <c r="H11" s="258"/>
      <c r="I11" s="262"/>
    </row>
    <row r="12" spans="2:9" x14ac:dyDescent="0.3">
      <c r="B12" s="245" t="s">
        <v>112</v>
      </c>
      <c r="C12" s="246" t="s">
        <v>132</v>
      </c>
      <c r="D12" s="247" t="s">
        <v>121</v>
      </c>
      <c r="E12" s="251" t="s">
        <v>142</v>
      </c>
      <c r="F12" s="257"/>
      <c r="G12" s="258"/>
      <c r="H12" s="258"/>
      <c r="I12" s="262"/>
    </row>
    <row r="13" spans="2:9" x14ac:dyDescent="0.3">
      <c r="B13" s="263"/>
      <c r="C13" s="258"/>
      <c r="D13" s="264"/>
      <c r="E13" s="258"/>
      <c r="F13" s="258"/>
      <c r="G13" s="258"/>
      <c r="H13" s="258"/>
      <c r="I13" s="265"/>
    </row>
    <row r="14" spans="2:9" x14ac:dyDescent="0.3">
      <c r="B14" s="951" t="s">
        <v>162</v>
      </c>
      <c r="C14" s="952"/>
      <c r="D14" s="952"/>
      <c r="E14" s="952"/>
      <c r="F14" s="952"/>
      <c r="G14" s="952"/>
      <c r="H14" s="952"/>
      <c r="I14" s="953"/>
    </row>
    <row r="15" spans="2:9" x14ac:dyDescent="0.3">
      <c r="B15" s="242" t="s">
        <v>114</v>
      </c>
      <c r="C15" s="243" t="s">
        <v>163</v>
      </c>
      <c r="D15" s="243" t="s">
        <v>164</v>
      </c>
      <c r="E15" s="243" t="s">
        <v>168</v>
      </c>
      <c r="F15" s="243" t="s">
        <v>165</v>
      </c>
      <c r="G15" s="243" t="s">
        <v>166</v>
      </c>
      <c r="H15" s="243" t="s">
        <v>167</v>
      </c>
      <c r="I15" s="244" t="s">
        <v>173</v>
      </c>
    </row>
    <row r="16" spans="2:9" ht="69" x14ac:dyDescent="0.3">
      <c r="B16" s="245" t="s">
        <v>107</v>
      </c>
      <c r="C16" s="246" t="s">
        <v>169</v>
      </c>
      <c r="D16" s="247" t="s">
        <v>170</v>
      </c>
      <c r="E16" s="246" t="s">
        <v>174</v>
      </c>
      <c r="F16" s="248" t="s">
        <v>171</v>
      </c>
      <c r="G16" s="249" t="s">
        <v>172</v>
      </c>
      <c r="H16" s="249" t="s">
        <v>175</v>
      </c>
      <c r="I16" s="250" t="s">
        <v>176</v>
      </c>
    </row>
    <row r="17" spans="2:9" x14ac:dyDescent="0.3">
      <c r="B17" s="245" t="s">
        <v>108</v>
      </c>
      <c r="C17" s="266" t="s">
        <v>177</v>
      </c>
      <c r="D17" s="266" t="s">
        <v>178</v>
      </c>
      <c r="E17" s="266" t="s">
        <v>179</v>
      </c>
      <c r="F17" s="267" t="s">
        <v>180</v>
      </c>
      <c r="G17" s="268" t="s">
        <v>181</v>
      </c>
      <c r="H17" s="268" t="s">
        <v>182</v>
      </c>
      <c r="I17" s="269" t="s">
        <v>183</v>
      </c>
    </row>
    <row r="18" spans="2:9" ht="35" x14ac:dyDescent="0.3">
      <c r="B18" s="245" t="s">
        <v>145</v>
      </c>
      <c r="C18" s="251" t="s">
        <v>184</v>
      </c>
      <c r="D18" s="252" t="s">
        <v>185</v>
      </c>
      <c r="E18" s="251" t="s">
        <v>188</v>
      </c>
      <c r="F18" s="254" t="s">
        <v>187</v>
      </c>
      <c r="G18" s="251" t="s">
        <v>186</v>
      </c>
      <c r="H18" s="255" t="s">
        <v>189</v>
      </c>
      <c r="I18" s="269" t="s">
        <v>190</v>
      </c>
    </row>
    <row r="19" spans="2:9" ht="115" x14ac:dyDescent="0.3">
      <c r="B19" s="245" t="s">
        <v>109</v>
      </c>
      <c r="C19" s="247" t="s">
        <v>191</v>
      </c>
      <c r="D19" s="247" t="s">
        <v>192</v>
      </c>
      <c r="E19" s="247" t="s">
        <v>193</v>
      </c>
      <c r="F19" s="270" t="s">
        <v>194</v>
      </c>
      <c r="G19" s="270" t="s">
        <v>194</v>
      </c>
      <c r="H19" s="270" t="s">
        <v>194</v>
      </c>
      <c r="I19" s="271" t="s">
        <v>195</v>
      </c>
    </row>
    <row r="20" spans="2:9" x14ac:dyDescent="0.3">
      <c r="B20" s="245" t="s">
        <v>111</v>
      </c>
      <c r="C20" s="272" t="s">
        <v>199</v>
      </c>
      <c r="D20" s="272" t="s">
        <v>199</v>
      </c>
      <c r="E20" s="272" t="s">
        <v>199</v>
      </c>
      <c r="F20" s="272" t="s">
        <v>199</v>
      </c>
      <c r="G20" s="272" t="s">
        <v>199</v>
      </c>
      <c r="H20" s="272" t="s">
        <v>199</v>
      </c>
      <c r="I20" s="273" t="s">
        <v>199</v>
      </c>
    </row>
    <row r="21" spans="2:9" ht="23.5" thickBot="1" x14ac:dyDescent="0.35">
      <c r="B21" s="274" t="s">
        <v>112</v>
      </c>
      <c r="C21" s="275" t="s">
        <v>113</v>
      </c>
      <c r="D21" s="275" t="s">
        <v>113</v>
      </c>
      <c r="E21" s="276" t="s">
        <v>196</v>
      </c>
      <c r="F21" s="277" t="s">
        <v>197</v>
      </c>
      <c r="G21" s="275" t="s">
        <v>113</v>
      </c>
      <c r="H21" s="275" t="s">
        <v>198</v>
      </c>
      <c r="I21" s="278" t="s">
        <v>198</v>
      </c>
    </row>
  </sheetData>
  <mergeCells count="2">
    <mergeCell ref="B2:I2"/>
    <mergeCell ref="B14:I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067A-74D6-46D5-9208-C5E18130ADBC}">
  <sheetPr>
    <tabColor rgb="FF0070C0"/>
  </sheetPr>
  <dimension ref="A2:AB90"/>
  <sheetViews>
    <sheetView zoomScale="70" zoomScaleNormal="70" workbookViewId="0">
      <selection sqref="A1:XFD1048576"/>
    </sheetView>
  </sheetViews>
  <sheetFormatPr defaultRowHeight="14.5" x14ac:dyDescent="0.35"/>
  <cols>
    <col min="5" max="5" width="12.453125" customWidth="1"/>
    <col min="6" max="6" width="11.08984375" customWidth="1"/>
    <col min="8" max="8" width="11.36328125" customWidth="1"/>
    <col min="9" max="9" width="10.453125" customWidth="1"/>
    <col min="11" max="11" width="13.36328125" customWidth="1"/>
    <col min="12" max="12" width="13.81640625" customWidth="1"/>
    <col min="15" max="15" width="15.453125" customWidth="1"/>
    <col min="17" max="17" width="11.54296875" customWidth="1"/>
    <col min="18" max="18" width="15" customWidth="1"/>
    <col min="20" max="20" width="10.1796875" customWidth="1"/>
    <col min="21" max="21" width="23" customWidth="1"/>
    <col min="23" max="23" width="15.1796875" bestFit="1" customWidth="1"/>
    <col min="25" max="25" width="11" bestFit="1" customWidth="1"/>
    <col min="28" max="28" width="11.54296875" bestFit="1" customWidth="1"/>
  </cols>
  <sheetData>
    <row r="2" spans="1:21" ht="15" thickBot="1" x14ac:dyDescent="0.4"/>
    <row r="3" spans="1:21" ht="14.4" customHeight="1" x14ac:dyDescent="0.35">
      <c r="A3" s="1053"/>
      <c r="B3" s="1049"/>
      <c r="C3" s="1049"/>
      <c r="D3" s="1049" t="s">
        <v>567</v>
      </c>
      <c r="E3" s="1049"/>
      <c r="F3" s="1049"/>
      <c r="G3" s="1049" t="s">
        <v>568</v>
      </c>
      <c r="H3" s="1049"/>
      <c r="I3" s="1049"/>
      <c r="J3" s="1049" t="s">
        <v>569</v>
      </c>
      <c r="K3" s="1049"/>
      <c r="L3" s="1049"/>
      <c r="M3" s="1049" t="s">
        <v>570</v>
      </c>
      <c r="N3" s="1049"/>
      <c r="O3" s="1049"/>
      <c r="P3" s="1049" t="s">
        <v>571</v>
      </c>
      <c r="Q3" s="1049"/>
      <c r="R3" s="1049"/>
      <c r="S3" s="1049" t="s">
        <v>572</v>
      </c>
      <c r="T3" s="1049"/>
      <c r="U3" s="1050"/>
    </row>
    <row r="4" spans="1:21" ht="14.4" customHeight="1" thickBot="1" x14ac:dyDescent="0.4">
      <c r="A4" s="1054"/>
      <c r="B4" s="1051"/>
      <c r="C4" s="1051"/>
      <c r="D4" s="1051"/>
      <c r="E4" s="1051"/>
      <c r="F4" s="1051"/>
      <c r="G4" s="1051"/>
      <c r="H4" s="1051"/>
      <c r="I4" s="1051"/>
      <c r="J4" s="1051"/>
      <c r="K4" s="1051"/>
      <c r="L4" s="1051"/>
      <c r="M4" s="1051"/>
      <c r="N4" s="1051"/>
      <c r="O4" s="1051"/>
      <c r="P4" s="1051"/>
      <c r="Q4" s="1051"/>
      <c r="R4" s="1051"/>
      <c r="S4" s="1051"/>
      <c r="T4" s="1051"/>
      <c r="U4" s="1052"/>
    </row>
    <row r="5" spans="1:21" ht="14.4" customHeight="1" x14ac:dyDescent="0.35">
      <c r="A5" s="1055" t="s">
        <v>579</v>
      </c>
      <c r="B5" s="1056"/>
      <c r="C5" s="1057"/>
      <c r="D5" s="1055" t="s">
        <v>573</v>
      </c>
      <c r="E5" s="1064"/>
      <c r="F5" s="1065"/>
      <c r="G5" s="1055" t="s">
        <v>574</v>
      </c>
      <c r="H5" s="1064"/>
      <c r="I5" s="1065"/>
      <c r="J5" s="1055" t="s">
        <v>575</v>
      </c>
      <c r="K5" s="1056"/>
      <c r="L5" s="1057"/>
      <c r="M5" s="1055" t="s">
        <v>576</v>
      </c>
      <c r="N5" s="1056"/>
      <c r="O5" s="1056"/>
      <c r="P5" s="1072" t="s">
        <v>577</v>
      </c>
      <c r="Q5" s="1073"/>
      <c r="R5" s="1074"/>
      <c r="S5" s="1081" t="s">
        <v>578</v>
      </c>
      <c r="T5" s="1082"/>
      <c r="U5" s="1083"/>
    </row>
    <row r="6" spans="1:21" x14ac:dyDescent="0.35">
      <c r="A6" s="1058"/>
      <c r="B6" s="1059"/>
      <c r="C6" s="1060"/>
      <c r="D6" s="1066"/>
      <c r="E6" s="1067"/>
      <c r="F6" s="1068"/>
      <c r="G6" s="1066"/>
      <c r="H6" s="1067"/>
      <c r="I6" s="1068"/>
      <c r="J6" s="1058"/>
      <c r="K6" s="1059"/>
      <c r="L6" s="1060"/>
      <c r="M6" s="1058"/>
      <c r="N6" s="1059"/>
      <c r="O6" s="1059"/>
      <c r="P6" s="1075"/>
      <c r="Q6" s="1076"/>
      <c r="R6" s="1077"/>
      <c r="S6" s="1084"/>
      <c r="T6" s="1085"/>
      <c r="U6" s="1086"/>
    </row>
    <row r="7" spans="1:21" x14ac:dyDescent="0.35">
      <c r="A7" s="1058"/>
      <c r="B7" s="1059"/>
      <c r="C7" s="1060"/>
      <c r="D7" s="1066"/>
      <c r="E7" s="1067"/>
      <c r="F7" s="1068"/>
      <c r="G7" s="1066"/>
      <c r="H7" s="1067"/>
      <c r="I7" s="1068"/>
      <c r="J7" s="1058"/>
      <c r="K7" s="1059"/>
      <c r="L7" s="1060"/>
      <c r="M7" s="1058"/>
      <c r="N7" s="1059"/>
      <c r="O7" s="1059"/>
      <c r="P7" s="1075"/>
      <c r="Q7" s="1076"/>
      <c r="R7" s="1077"/>
      <c r="S7" s="1084"/>
      <c r="T7" s="1085"/>
      <c r="U7" s="1086"/>
    </row>
    <row r="8" spans="1:21" x14ac:dyDescent="0.35">
      <c r="A8" s="1058"/>
      <c r="B8" s="1059"/>
      <c r="C8" s="1060"/>
      <c r="D8" s="1066"/>
      <c r="E8" s="1067"/>
      <c r="F8" s="1068"/>
      <c r="G8" s="1066"/>
      <c r="H8" s="1067"/>
      <c r="I8" s="1068"/>
      <c r="J8" s="1058"/>
      <c r="K8" s="1059"/>
      <c r="L8" s="1060"/>
      <c r="M8" s="1058"/>
      <c r="N8" s="1059"/>
      <c r="O8" s="1059"/>
      <c r="P8" s="1075"/>
      <c r="Q8" s="1076"/>
      <c r="R8" s="1077"/>
      <c r="S8" s="1084"/>
      <c r="T8" s="1085"/>
      <c r="U8" s="1086"/>
    </row>
    <row r="9" spans="1:21" x14ac:dyDescent="0.35">
      <c r="A9" s="1058"/>
      <c r="B9" s="1059"/>
      <c r="C9" s="1060"/>
      <c r="D9" s="1066"/>
      <c r="E9" s="1067"/>
      <c r="F9" s="1068"/>
      <c r="G9" s="1066"/>
      <c r="H9" s="1067"/>
      <c r="I9" s="1068"/>
      <c r="J9" s="1058"/>
      <c r="K9" s="1059"/>
      <c r="L9" s="1060"/>
      <c r="M9" s="1058"/>
      <c r="N9" s="1059"/>
      <c r="O9" s="1059"/>
      <c r="P9" s="1075"/>
      <c r="Q9" s="1076"/>
      <c r="R9" s="1077"/>
      <c r="S9" s="1084"/>
      <c r="T9" s="1085"/>
      <c r="U9" s="1086"/>
    </row>
    <row r="10" spans="1:21" x14ac:dyDescent="0.35">
      <c r="A10" s="1058"/>
      <c r="B10" s="1059"/>
      <c r="C10" s="1060"/>
      <c r="D10" s="1066"/>
      <c r="E10" s="1067"/>
      <c r="F10" s="1068"/>
      <c r="G10" s="1066"/>
      <c r="H10" s="1067"/>
      <c r="I10" s="1068"/>
      <c r="J10" s="1058"/>
      <c r="K10" s="1059"/>
      <c r="L10" s="1060"/>
      <c r="M10" s="1058"/>
      <c r="N10" s="1059"/>
      <c r="O10" s="1059"/>
      <c r="P10" s="1075"/>
      <c r="Q10" s="1076"/>
      <c r="R10" s="1077"/>
      <c r="S10" s="1084"/>
      <c r="T10" s="1085"/>
      <c r="U10" s="1086"/>
    </row>
    <row r="11" spans="1:21" ht="26.4" customHeight="1" x14ac:dyDescent="0.35">
      <c r="A11" s="1058"/>
      <c r="B11" s="1059"/>
      <c r="C11" s="1060"/>
      <c r="D11" s="1066"/>
      <c r="E11" s="1067"/>
      <c r="F11" s="1068"/>
      <c r="G11" s="1066"/>
      <c r="H11" s="1067"/>
      <c r="I11" s="1068"/>
      <c r="J11" s="1058"/>
      <c r="K11" s="1059"/>
      <c r="L11" s="1060"/>
      <c r="M11" s="1058"/>
      <c r="N11" s="1059"/>
      <c r="O11" s="1059"/>
      <c r="P11" s="1075"/>
      <c r="Q11" s="1076"/>
      <c r="R11" s="1077"/>
      <c r="S11" s="1084"/>
      <c r="T11" s="1085"/>
      <c r="U11" s="1086"/>
    </row>
    <row r="12" spans="1:21" ht="43.25" customHeight="1" thickBot="1" x14ac:dyDescent="0.4">
      <c r="A12" s="1058"/>
      <c r="B12" s="1059"/>
      <c r="C12" s="1060"/>
      <c r="D12" s="1066"/>
      <c r="E12" s="1067"/>
      <c r="F12" s="1068"/>
      <c r="G12" s="1066"/>
      <c r="H12" s="1067"/>
      <c r="I12" s="1068"/>
      <c r="J12" s="1058"/>
      <c r="K12" s="1059"/>
      <c r="L12" s="1060"/>
      <c r="M12" s="1058"/>
      <c r="N12" s="1059"/>
      <c r="O12" s="1059"/>
      <c r="P12" s="1075"/>
      <c r="Q12" s="1076"/>
      <c r="R12" s="1077"/>
      <c r="S12" s="1084"/>
      <c r="T12" s="1085"/>
      <c r="U12" s="1086"/>
    </row>
    <row r="13" spans="1:21" ht="61.25" customHeight="1" thickBot="1" x14ac:dyDescent="0.4">
      <c r="A13" s="1061"/>
      <c r="B13" s="1062"/>
      <c r="C13" s="1063"/>
      <c r="D13" s="1069"/>
      <c r="E13" s="1070"/>
      <c r="F13" s="1071"/>
      <c r="G13" s="1069"/>
      <c r="H13" s="1070"/>
      <c r="I13" s="1071"/>
      <c r="J13" s="1061"/>
      <c r="K13" s="1062"/>
      <c r="L13" s="1063"/>
      <c r="M13" s="1061"/>
      <c r="N13" s="1062"/>
      <c r="O13" s="1062"/>
      <c r="P13" s="1078"/>
      <c r="Q13" s="1079"/>
      <c r="R13" s="1080"/>
      <c r="S13" s="993">
        <v>800000000</v>
      </c>
      <c r="T13" s="994"/>
      <c r="U13" s="995"/>
    </row>
    <row r="14" spans="1:21" ht="29.4" customHeight="1" x14ac:dyDescent="0.35">
      <c r="A14" s="984" t="s">
        <v>580</v>
      </c>
      <c r="B14" s="985"/>
      <c r="C14" s="986"/>
      <c r="D14" s="984" t="s">
        <v>581</v>
      </c>
      <c r="E14" s="985"/>
      <c r="F14" s="986"/>
      <c r="G14" s="1048" t="s">
        <v>582</v>
      </c>
      <c r="H14" s="985"/>
      <c r="I14" s="985"/>
      <c r="J14" s="984" t="s">
        <v>583</v>
      </c>
      <c r="K14" s="985"/>
      <c r="L14" s="986"/>
      <c r="M14" s="984" t="s">
        <v>584</v>
      </c>
      <c r="N14" s="1020"/>
      <c r="O14" s="1021"/>
      <c r="P14" s="984" t="s">
        <v>577</v>
      </c>
      <c r="Q14" s="985"/>
      <c r="R14" s="986"/>
      <c r="S14" s="960" t="s">
        <v>590</v>
      </c>
      <c r="T14" s="961"/>
      <c r="U14" s="962"/>
    </row>
    <row r="15" spans="1:21" x14ac:dyDescent="0.35">
      <c r="A15" s="987"/>
      <c r="B15" s="988"/>
      <c r="C15" s="989"/>
      <c r="D15" s="987"/>
      <c r="E15" s="988"/>
      <c r="F15" s="989"/>
      <c r="G15" s="988"/>
      <c r="H15" s="988"/>
      <c r="I15" s="988"/>
      <c r="J15" s="987"/>
      <c r="K15" s="988"/>
      <c r="L15" s="989"/>
      <c r="M15" s="1022"/>
      <c r="N15" s="1023"/>
      <c r="O15" s="1024"/>
      <c r="P15" s="987"/>
      <c r="Q15" s="988"/>
      <c r="R15" s="989"/>
      <c r="S15" s="963"/>
      <c r="T15" s="964"/>
      <c r="U15" s="965"/>
    </row>
    <row r="16" spans="1:21" x14ac:dyDescent="0.35">
      <c r="A16" s="987"/>
      <c r="B16" s="988"/>
      <c r="C16" s="989"/>
      <c r="D16" s="987"/>
      <c r="E16" s="988"/>
      <c r="F16" s="989"/>
      <c r="G16" s="988"/>
      <c r="H16" s="988"/>
      <c r="I16" s="988"/>
      <c r="J16" s="987"/>
      <c r="K16" s="988"/>
      <c r="L16" s="989"/>
      <c r="M16" s="1022"/>
      <c r="N16" s="1023"/>
      <c r="O16" s="1024"/>
      <c r="P16" s="987"/>
      <c r="Q16" s="988"/>
      <c r="R16" s="989"/>
      <c r="S16" s="963"/>
      <c r="T16" s="964"/>
      <c r="U16" s="965"/>
    </row>
    <row r="17" spans="1:21" x14ac:dyDescent="0.35">
      <c r="A17" s="987"/>
      <c r="B17" s="988"/>
      <c r="C17" s="989"/>
      <c r="D17" s="987"/>
      <c r="E17" s="988"/>
      <c r="F17" s="989"/>
      <c r="G17" s="988"/>
      <c r="H17" s="988"/>
      <c r="I17" s="988"/>
      <c r="J17" s="987"/>
      <c r="K17" s="988"/>
      <c r="L17" s="989"/>
      <c r="M17" s="1022"/>
      <c r="N17" s="1023"/>
      <c r="O17" s="1024"/>
      <c r="P17" s="987"/>
      <c r="Q17" s="988"/>
      <c r="R17" s="989"/>
      <c r="S17" s="963"/>
      <c r="T17" s="964"/>
      <c r="U17" s="965"/>
    </row>
    <row r="18" spans="1:21" x14ac:dyDescent="0.35">
      <c r="A18" s="987"/>
      <c r="B18" s="988"/>
      <c r="C18" s="989"/>
      <c r="D18" s="987"/>
      <c r="E18" s="988"/>
      <c r="F18" s="989"/>
      <c r="G18" s="988"/>
      <c r="H18" s="988"/>
      <c r="I18" s="988"/>
      <c r="J18" s="987"/>
      <c r="K18" s="988"/>
      <c r="L18" s="989"/>
      <c r="M18" s="1022"/>
      <c r="N18" s="1023"/>
      <c r="O18" s="1024"/>
      <c r="P18" s="987"/>
      <c r="Q18" s="988"/>
      <c r="R18" s="989"/>
      <c r="S18" s="963"/>
      <c r="T18" s="964"/>
      <c r="U18" s="965"/>
    </row>
    <row r="19" spans="1:21" x14ac:dyDescent="0.35">
      <c r="A19" s="987"/>
      <c r="B19" s="988"/>
      <c r="C19" s="989"/>
      <c r="D19" s="987"/>
      <c r="E19" s="988"/>
      <c r="F19" s="989"/>
      <c r="G19" s="988"/>
      <c r="H19" s="988"/>
      <c r="I19" s="988"/>
      <c r="J19" s="987"/>
      <c r="K19" s="988"/>
      <c r="L19" s="989"/>
      <c r="M19" s="1022"/>
      <c r="N19" s="1023"/>
      <c r="O19" s="1024"/>
      <c r="P19" s="987"/>
      <c r="Q19" s="988"/>
      <c r="R19" s="989"/>
      <c r="S19" s="963"/>
      <c r="T19" s="964"/>
      <c r="U19" s="965"/>
    </row>
    <row r="20" spans="1:21" x14ac:dyDescent="0.35">
      <c r="A20" s="987"/>
      <c r="B20" s="988"/>
      <c r="C20" s="989"/>
      <c r="D20" s="987"/>
      <c r="E20" s="988"/>
      <c r="F20" s="989"/>
      <c r="G20" s="988"/>
      <c r="H20" s="988"/>
      <c r="I20" s="988"/>
      <c r="J20" s="987"/>
      <c r="K20" s="988"/>
      <c r="L20" s="989"/>
      <c r="M20" s="1022"/>
      <c r="N20" s="1023"/>
      <c r="O20" s="1024"/>
      <c r="P20" s="987"/>
      <c r="Q20" s="988"/>
      <c r="R20" s="989"/>
      <c r="S20" s="963"/>
      <c r="T20" s="964"/>
      <c r="U20" s="965"/>
    </row>
    <row r="21" spans="1:21" x14ac:dyDescent="0.35">
      <c r="A21" s="987"/>
      <c r="B21" s="988"/>
      <c r="C21" s="989"/>
      <c r="D21" s="987"/>
      <c r="E21" s="988"/>
      <c r="F21" s="989"/>
      <c r="G21" s="988"/>
      <c r="H21" s="988"/>
      <c r="I21" s="988"/>
      <c r="J21" s="987"/>
      <c r="K21" s="988"/>
      <c r="L21" s="989"/>
      <c r="M21" s="1022"/>
      <c r="N21" s="1023"/>
      <c r="O21" s="1024"/>
      <c r="P21" s="987"/>
      <c r="Q21" s="988"/>
      <c r="R21" s="989"/>
      <c r="S21" s="963"/>
      <c r="T21" s="964"/>
      <c r="U21" s="965"/>
    </row>
    <row r="22" spans="1:21" x14ac:dyDescent="0.35">
      <c r="A22" s="987"/>
      <c r="B22" s="988"/>
      <c r="C22" s="989"/>
      <c r="D22" s="987"/>
      <c r="E22" s="988"/>
      <c r="F22" s="989"/>
      <c r="G22" s="988"/>
      <c r="H22" s="988"/>
      <c r="I22" s="988"/>
      <c r="J22" s="987"/>
      <c r="K22" s="988"/>
      <c r="L22" s="989"/>
      <c r="M22" s="1022"/>
      <c r="N22" s="1023"/>
      <c r="O22" s="1024"/>
      <c r="P22" s="987"/>
      <c r="Q22" s="988"/>
      <c r="R22" s="989"/>
      <c r="S22" s="963"/>
      <c r="T22" s="964"/>
      <c r="U22" s="965"/>
    </row>
    <row r="23" spans="1:21" x14ac:dyDescent="0.35">
      <c r="A23" s="987"/>
      <c r="B23" s="988"/>
      <c r="C23" s="989"/>
      <c r="D23" s="987"/>
      <c r="E23" s="988"/>
      <c r="F23" s="989"/>
      <c r="G23" s="988"/>
      <c r="H23" s="988"/>
      <c r="I23" s="988"/>
      <c r="J23" s="987"/>
      <c r="K23" s="988"/>
      <c r="L23" s="989"/>
      <c r="M23" s="1022"/>
      <c r="N23" s="1023"/>
      <c r="O23" s="1024"/>
      <c r="P23" s="987"/>
      <c r="Q23" s="988"/>
      <c r="R23" s="989"/>
      <c r="S23" s="963"/>
      <c r="T23" s="964"/>
      <c r="U23" s="965"/>
    </row>
    <row r="24" spans="1:21" ht="15" thickBot="1" x14ac:dyDescent="0.4">
      <c r="A24" s="987"/>
      <c r="B24" s="988"/>
      <c r="C24" s="989"/>
      <c r="D24" s="987"/>
      <c r="E24" s="988"/>
      <c r="F24" s="989"/>
      <c r="G24" s="988"/>
      <c r="H24" s="988"/>
      <c r="I24" s="988"/>
      <c r="J24" s="987"/>
      <c r="K24" s="988"/>
      <c r="L24" s="989"/>
      <c r="M24" s="1022"/>
      <c r="N24" s="1023"/>
      <c r="O24" s="1024"/>
      <c r="P24" s="987"/>
      <c r="Q24" s="988"/>
      <c r="R24" s="989"/>
      <c r="S24" s="963"/>
      <c r="T24" s="964"/>
      <c r="U24" s="965"/>
    </row>
    <row r="25" spans="1:21" ht="19.75" customHeight="1" thickBot="1" x14ac:dyDescent="0.4">
      <c r="A25" s="990"/>
      <c r="B25" s="991"/>
      <c r="C25" s="992"/>
      <c r="D25" s="990"/>
      <c r="E25" s="991"/>
      <c r="F25" s="992"/>
      <c r="G25" s="991"/>
      <c r="H25" s="991"/>
      <c r="I25" s="991"/>
      <c r="J25" s="990"/>
      <c r="K25" s="991"/>
      <c r="L25" s="992"/>
      <c r="M25" s="1025"/>
      <c r="N25" s="1026"/>
      <c r="O25" s="1027"/>
      <c r="P25" s="990"/>
      <c r="Q25" s="991"/>
      <c r="R25" s="992"/>
      <c r="S25" s="993">
        <v>1000000000</v>
      </c>
      <c r="T25" s="994"/>
      <c r="U25" s="995"/>
    </row>
    <row r="26" spans="1:21" ht="14.4" customHeight="1" x14ac:dyDescent="0.35">
      <c r="A26" s="984" t="s">
        <v>585</v>
      </c>
      <c r="B26" s="985"/>
      <c r="C26" s="986"/>
      <c r="D26" s="972" t="s">
        <v>586</v>
      </c>
      <c r="E26" s="973"/>
      <c r="F26" s="974"/>
      <c r="G26" s="972" t="s">
        <v>587</v>
      </c>
      <c r="H26" s="1031"/>
      <c r="I26" s="1032"/>
      <c r="J26" s="984" t="s">
        <v>593</v>
      </c>
      <c r="K26" s="1020"/>
      <c r="L26" s="1021"/>
      <c r="M26" s="984" t="s">
        <v>588</v>
      </c>
      <c r="N26" s="1020"/>
      <c r="O26" s="1021"/>
      <c r="P26" s="1039" t="s">
        <v>577</v>
      </c>
      <c r="Q26" s="1040"/>
      <c r="R26" s="1041"/>
      <c r="S26" s="984" t="s">
        <v>589</v>
      </c>
      <c r="T26" s="985"/>
      <c r="U26" s="986"/>
    </row>
    <row r="27" spans="1:21" x14ac:dyDescent="0.35">
      <c r="A27" s="987"/>
      <c r="B27" s="988"/>
      <c r="C27" s="989"/>
      <c r="D27" s="975"/>
      <c r="E27" s="976"/>
      <c r="F27" s="977"/>
      <c r="G27" s="1033"/>
      <c r="H27" s="1034"/>
      <c r="I27" s="1035"/>
      <c r="J27" s="1022"/>
      <c r="K27" s="1023"/>
      <c r="L27" s="1024"/>
      <c r="M27" s="1022"/>
      <c r="N27" s="1023"/>
      <c r="O27" s="1024"/>
      <c r="P27" s="1042"/>
      <c r="Q27" s="1043"/>
      <c r="R27" s="1044"/>
      <c r="S27" s="987"/>
      <c r="T27" s="988"/>
      <c r="U27" s="989"/>
    </row>
    <row r="28" spans="1:21" x14ac:dyDescent="0.35">
      <c r="A28" s="987"/>
      <c r="B28" s="988"/>
      <c r="C28" s="989"/>
      <c r="D28" s="975"/>
      <c r="E28" s="976"/>
      <c r="F28" s="977"/>
      <c r="G28" s="1033"/>
      <c r="H28" s="1034"/>
      <c r="I28" s="1035"/>
      <c r="J28" s="1022"/>
      <c r="K28" s="1023"/>
      <c r="L28" s="1024"/>
      <c r="M28" s="1022"/>
      <c r="N28" s="1023"/>
      <c r="O28" s="1024"/>
      <c r="P28" s="1042"/>
      <c r="Q28" s="1043"/>
      <c r="R28" s="1044"/>
      <c r="S28" s="987"/>
      <c r="T28" s="988"/>
      <c r="U28" s="989"/>
    </row>
    <row r="29" spans="1:21" x14ac:dyDescent="0.35">
      <c r="A29" s="987"/>
      <c r="B29" s="988"/>
      <c r="C29" s="989"/>
      <c r="D29" s="975"/>
      <c r="E29" s="976"/>
      <c r="F29" s="977"/>
      <c r="G29" s="1033"/>
      <c r="H29" s="1034"/>
      <c r="I29" s="1035"/>
      <c r="J29" s="1022"/>
      <c r="K29" s="1023"/>
      <c r="L29" s="1024"/>
      <c r="M29" s="1022"/>
      <c r="N29" s="1023"/>
      <c r="O29" s="1024"/>
      <c r="P29" s="1042"/>
      <c r="Q29" s="1043"/>
      <c r="R29" s="1044"/>
      <c r="S29" s="987"/>
      <c r="T29" s="988"/>
      <c r="U29" s="989"/>
    </row>
    <row r="30" spans="1:21" x14ac:dyDescent="0.35">
      <c r="A30" s="987"/>
      <c r="B30" s="988"/>
      <c r="C30" s="989"/>
      <c r="D30" s="975"/>
      <c r="E30" s="976"/>
      <c r="F30" s="977"/>
      <c r="G30" s="1033"/>
      <c r="H30" s="1034"/>
      <c r="I30" s="1035"/>
      <c r="J30" s="1022"/>
      <c r="K30" s="1023"/>
      <c r="L30" s="1024"/>
      <c r="M30" s="1022"/>
      <c r="N30" s="1023"/>
      <c r="O30" s="1024"/>
      <c r="P30" s="1042"/>
      <c r="Q30" s="1043"/>
      <c r="R30" s="1044"/>
      <c r="S30" s="987"/>
      <c r="T30" s="988"/>
      <c r="U30" s="989"/>
    </row>
    <row r="31" spans="1:21" x14ac:dyDescent="0.35">
      <c r="A31" s="987"/>
      <c r="B31" s="988"/>
      <c r="C31" s="989"/>
      <c r="D31" s="975"/>
      <c r="E31" s="976"/>
      <c r="F31" s="977"/>
      <c r="G31" s="1033"/>
      <c r="H31" s="1034"/>
      <c r="I31" s="1035"/>
      <c r="J31" s="1022"/>
      <c r="K31" s="1023"/>
      <c r="L31" s="1024"/>
      <c r="M31" s="1022"/>
      <c r="N31" s="1023"/>
      <c r="O31" s="1024"/>
      <c r="P31" s="1042"/>
      <c r="Q31" s="1043"/>
      <c r="R31" s="1044"/>
      <c r="S31" s="987"/>
      <c r="T31" s="988"/>
      <c r="U31" s="989"/>
    </row>
    <row r="32" spans="1:21" x14ac:dyDescent="0.35">
      <c r="A32" s="987"/>
      <c r="B32" s="988"/>
      <c r="C32" s="989"/>
      <c r="D32" s="975"/>
      <c r="E32" s="976"/>
      <c r="F32" s="977"/>
      <c r="G32" s="1033"/>
      <c r="H32" s="1034"/>
      <c r="I32" s="1035"/>
      <c r="J32" s="1022"/>
      <c r="K32" s="1023"/>
      <c r="L32" s="1024"/>
      <c r="M32" s="1022"/>
      <c r="N32" s="1023"/>
      <c r="O32" s="1024"/>
      <c r="P32" s="1042"/>
      <c r="Q32" s="1043"/>
      <c r="R32" s="1044"/>
      <c r="S32" s="987"/>
      <c r="T32" s="988"/>
      <c r="U32" s="989"/>
    </row>
    <row r="33" spans="1:25" x14ac:dyDescent="0.35">
      <c r="A33" s="987"/>
      <c r="B33" s="988"/>
      <c r="C33" s="989"/>
      <c r="D33" s="975"/>
      <c r="E33" s="976"/>
      <c r="F33" s="977"/>
      <c r="G33" s="1033"/>
      <c r="H33" s="1034"/>
      <c r="I33" s="1035"/>
      <c r="J33" s="1022"/>
      <c r="K33" s="1023"/>
      <c r="L33" s="1024"/>
      <c r="M33" s="1022"/>
      <c r="N33" s="1023"/>
      <c r="O33" s="1024"/>
      <c r="P33" s="1042"/>
      <c r="Q33" s="1043"/>
      <c r="R33" s="1044"/>
      <c r="S33" s="987"/>
      <c r="T33" s="988"/>
      <c r="U33" s="989"/>
    </row>
    <row r="34" spans="1:25" x14ac:dyDescent="0.35">
      <c r="A34" s="987"/>
      <c r="B34" s="988"/>
      <c r="C34" s="989"/>
      <c r="D34" s="975"/>
      <c r="E34" s="976"/>
      <c r="F34" s="977"/>
      <c r="G34" s="1033"/>
      <c r="H34" s="1034"/>
      <c r="I34" s="1035"/>
      <c r="J34" s="1022"/>
      <c r="K34" s="1023"/>
      <c r="L34" s="1024"/>
      <c r="M34" s="1022"/>
      <c r="N34" s="1023"/>
      <c r="O34" s="1024"/>
      <c r="P34" s="1042"/>
      <c r="Q34" s="1043"/>
      <c r="R34" s="1044"/>
      <c r="S34" s="987"/>
      <c r="T34" s="988"/>
      <c r="U34" s="989"/>
    </row>
    <row r="35" spans="1:25" ht="15" thickBot="1" x14ac:dyDescent="0.4">
      <c r="A35" s="987"/>
      <c r="B35" s="988"/>
      <c r="C35" s="989"/>
      <c r="D35" s="975"/>
      <c r="E35" s="976"/>
      <c r="F35" s="977"/>
      <c r="G35" s="1033"/>
      <c r="H35" s="1034"/>
      <c r="I35" s="1035"/>
      <c r="J35" s="1022"/>
      <c r="K35" s="1023"/>
      <c r="L35" s="1024"/>
      <c r="M35" s="1022"/>
      <c r="N35" s="1023"/>
      <c r="O35" s="1024"/>
      <c r="P35" s="1042"/>
      <c r="Q35" s="1043"/>
      <c r="R35" s="1044"/>
      <c r="S35" s="987"/>
      <c r="T35" s="988"/>
      <c r="U35" s="989"/>
    </row>
    <row r="36" spans="1:25" ht="21.65" customHeight="1" thickBot="1" x14ac:dyDescent="0.4">
      <c r="A36" s="990"/>
      <c r="B36" s="991"/>
      <c r="C36" s="992"/>
      <c r="D36" s="978"/>
      <c r="E36" s="979"/>
      <c r="F36" s="980"/>
      <c r="G36" s="1036"/>
      <c r="H36" s="1037"/>
      <c r="I36" s="1038"/>
      <c r="J36" s="1025"/>
      <c r="K36" s="1026"/>
      <c r="L36" s="1027"/>
      <c r="M36" s="1025"/>
      <c r="N36" s="1026"/>
      <c r="O36" s="1027"/>
      <c r="P36" s="1045"/>
      <c r="Q36" s="1046"/>
      <c r="R36" s="1047"/>
      <c r="S36" s="993">
        <v>375000000</v>
      </c>
      <c r="T36" s="994"/>
      <c r="U36" s="995"/>
    </row>
    <row r="37" spans="1:25" ht="14.4" customHeight="1" x14ac:dyDescent="0.35">
      <c r="A37" s="984" t="s">
        <v>591</v>
      </c>
      <c r="B37" s="985"/>
      <c r="C37" s="986"/>
      <c r="D37" s="984" t="s">
        <v>595</v>
      </c>
      <c r="E37" s="985"/>
      <c r="F37" s="986"/>
      <c r="G37" s="972" t="s">
        <v>592</v>
      </c>
      <c r="H37" s="973"/>
      <c r="I37" s="974"/>
      <c r="J37" s="972" t="s">
        <v>594</v>
      </c>
      <c r="K37" s="1031"/>
      <c r="L37" s="1032"/>
      <c r="M37" s="984" t="s">
        <v>596</v>
      </c>
      <c r="N37" s="985"/>
      <c r="O37" s="986"/>
      <c r="P37" s="1039" t="s">
        <v>577</v>
      </c>
      <c r="Q37" s="1040"/>
      <c r="R37" s="1041"/>
      <c r="S37" s="960" t="s">
        <v>597</v>
      </c>
      <c r="T37" s="961"/>
      <c r="U37" s="962"/>
      <c r="W37" s="712"/>
    </row>
    <row r="38" spans="1:25" x14ac:dyDescent="0.35">
      <c r="A38" s="987"/>
      <c r="B38" s="988"/>
      <c r="C38" s="989"/>
      <c r="D38" s="987"/>
      <c r="E38" s="988"/>
      <c r="F38" s="989"/>
      <c r="G38" s="975"/>
      <c r="H38" s="976"/>
      <c r="I38" s="977"/>
      <c r="J38" s="1033"/>
      <c r="K38" s="1034"/>
      <c r="L38" s="1035"/>
      <c r="M38" s="987"/>
      <c r="N38" s="988"/>
      <c r="O38" s="989"/>
      <c r="P38" s="1042"/>
      <c r="Q38" s="1043"/>
      <c r="R38" s="1044"/>
      <c r="S38" s="963"/>
      <c r="T38" s="964"/>
      <c r="U38" s="965"/>
      <c r="W38" s="712"/>
      <c r="Y38" s="712"/>
    </row>
    <row r="39" spans="1:25" x14ac:dyDescent="0.35">
      <c r="A39" s="987"/>
      <c r="B39" s="988"/>
      <c r="C39" s="989"/>
      <c r="D39" s="987"/>
      <c r="E39" s="988"/>
      <c r="F39" s="989"/>
      <c r="G39" s="975"/>
      <c r="H39" s="976"/>
      <c r="I39" s="977"/>
      <c r="J39" s="1033"/>
      <c r="K39" s="1034"/>
      <c r="L39" s="1035"/>
      <c r="M39" s="987"/>
      <c r="N39" s="988"/>
      <c r="O39" s="989"/>
      <c r="P39" s="1042"/>
      <c r="Q39" s="1043"/>
      <c r="R39" s="1044"/>
      <c r="S39" s="963"/>
      <c r="T39" s="964"/>
      <c r="U39" s="965"/>
      <c r="W39" s="712"/>
      <c r="Y39" s="712"/>
    </row>
    <row r="40" spans="1:25" x14ac:dyDescent="0.35">
      <c r="A40" s="987"/>
      <c r="B40" s="988"/>
      <c r="C40" s="989"/>
      <c r="D40" s="987"/>
      <c r="E40" s="988"/>
      <c r="F40" s="989"/>
      <c r="G40" s="975"/>
      <c r="H40" s="976"/>
      <c r="I40" s="977"/>
      <c r="J40" s="1033"/>
      <c r="K40" s="1034"/>
      <c r="L40" s="1035"/>
      <c r="M40" s="987"/>
      <c r="N40" s="988"/>
      <c r="O40" s="989"/>
      <c r="P40" s="1042"/>
      <c r="Q40" s="1043"/>
      <c r="R40" s="1044"/>
      <c r="S40" s="963"/>
      <c r="T40" s="964"/>
      <c r="U40" s="965"/>
      <c r="W40" s="712"/>
      <c r="Y40" s="712"/>
    </row>
    <row r="41" spans="1:25" x14ac:dyDescent="0.35">
      <c r="A41" s="987"/>
      <c r="B41" s="988"/>
      <c r="C41" s="989"/>
      <c r="D41" s="987"/>
      <c r="E41" s="988"/>
      <c r="F41" s="989"/>
      <c r="G41" s="975"/>
      <c r="H41" s="976"/>
      <c r="I41" s="977"/>
      <c r="J41" s="1033"/>
      <c r="K41" s="1034"/>
      <c r="L41" s="1035"/>
      <c r="M41" s="987"/>
      <c r="N41" s="988"/>
      <c r="O41" s="989"/>
      <c r="P41" s="1042"/>
      <c r="Q41" s="1043"/>
      <c r="R41" s="1044"/>
      <c r="S41" s="963"/>
      <c r="T41" s="964"/>
      <c r="U41" s="965"/>
      <c r="W41" s="712"/>
      <c r="Y41" s="712"/>
    </row>
    <row r="42" spans="1:25" x14ac:dyDescent="0.35">
      <c r="A42" s="987"/>
      <c r="B42" s="988"/>
      <c r="C42" s="989"/>
      <c r="D42" s="987"/>
      <c r="E42" s="988"/>
      <c r="F42" s="989"/>
      <c r="G42" s="975"/>
      <c r="H42" s="976"/>
      <c r="I42" s="977"/>
      <c r="J42" s="1033"/>
      <c r="K42" s="1034"/>
      <c r="L42" s="1035"/>
      <c r="M42" s="987"/>
      <c r="N42" s="988"/>
      <c r="O42" s="989"/>
      <c r="P42" s="1042"/>
      <c r="Q42" s="1043"/>
      <c r="R42" s="1044"/>
      <c r="S42" s="963"/>
      <c r="T42" s="964"/>
      <c r="U42" s="965"/>
      <c r="W42" s="712"/>
      <c r="Y42" s="712"/>
    </row>
    <row r="43" spans="1:25" x14ac:dyDescent="0.35">
      <c r="A43" s="987"/>
      <c r="B43" s="988"/>
      <c r="C43" s="989"/>
      <c r="D43" s="987"/>
      <c r="E43" s="988"/>
      <c r="F43" s="989"/>
      <c r="G43" s="975"/>
      <c r="H43" s="976"/>
      <c r="I43" s="977"/>
      <c r="J43" s="1033"/>
      <c r="K43" s="1034"/>
      <c r="L43" s="1035"/>
      <c r="M43" s="987"/>
      <c r="N43" s="988"/>
      <c r="O43" s="989"/>
      <c r="P43" s="1042"/>
      <c r="Q43" s="1043"/>
      <c r="R43" s="1044"/>
      <c r="S43" s="963"/>
      <c r="T43" s="964"/>
      <c r="U43" s="965"/>
      <c r="W43" s="712"/>
      <c r="Y43" s="712"/>
    </row>
    <row r="44" spans="1:25" x14ac:dyDescent="0.35">
      <c r="A44" s="987"/>
      <c r="B44" s="988"/>
      <c r="C44" s="989"/>
      <c r="D44" s="987"/>
      <c r="E44" s="988"/>
      <c r="F44" s="989"/>
      <c r="G44" s="975"/>
      <c r="H44" s="976"/>
      <c r="I44" s="977"/>
      <c r="J44" s="1033"/>
      <c r="K44" s="1034"/>
      <c r="L44" s="1035"/>
      <c r="M44" s="987"/>
      <c r="N44" s="988"/>
      <c r="O44" s="989"/>
      <c r="P44" s="1042"/>
      <c r="Q44" s="1043"/>
      <c r="R44" s="1044"/>
      <c r="S44" s="963"/>
      <c r="T44" s="964"/>
      <c r="U44" s="965"/>
      <c r="W44" s="712"/>
      <c r="X44" s="713"/>
      <c r="Y44" s="713"/>
    </row>
    <row r="45" spans="1:25" ht="16" thickBot="1" x14ac:dyDescent="0.4">
      <c r="A45" s="990"/>
      <c r="B45" s="991"/>
      <c r="C45" s="992"/>
      <c r="D45" s="990"/>
      <c r="E45" s="991"/>
      <c r="F45" s="992"/>
      <c r="G45" s="978"/>
      <c r="H45" s="979"/>
      <c r="I45" s="980"/>
      <c r="J45" s="1036"/>
      <c r="K45" s="1037"/>
      <c r="L45" s="1038"/>
      <c r="M45" s="990"/>
      <c r="N45" s="991"/>
      <c r="O45" s="992"/>
      <c r="P45" s="1045"/>
      <c r="Q45" s="1046"/>
      <c r="R45" s="1047"/>
      <c r="S45" s="1028">
        <v>200000000</v>
      </c>
      <c r="T45" s="1029"/>
      <c r="U45" s="1030"/>
    </row>
    <row r="46" spans="1:25" ht="14.4" customHeight="1" x14ac:dyDescent="0.35">
      <c r="A46" s="960" t="s">
        <v>598</v>
      </c>
      <c r="B46" s="961"/>
      <c r="C46" s="962"/>
      <c r="D46" s="960" t="s">
        <v>599</v>
      </c>
      <c r="E46" s="961"/>
      <c r="F46" s="962"/>
      <c r="G46" s="960" t="s">
        <v>600</v>
      </c>
      <c r="H46" s="961"/>
      <c r="I46" s="962"/>
      <c r="J46" s="960" t="s">
        <v>601</v>
      </c>
      <c r="K46" s="961"/>
      <c r="L46" s="962"/>
      <c r="M46" s="960" t="s">
        <v>602</v>
      </c>
      <c r="N46" s="961"/>
      <c r="O46" s="962"/>
      <c r="P46" s="960" t="s">
        <v>603</v>
      </c>
      <c r="Q46" s="961"/>
      <c r="R46" s="962"/>
      <c r="S46" s="960" t="s">
        <v>620</v>
      </c>
      <c r="T46" s="961"/>
      <c r="U46" s="962"/>
    </row>
    <row r="47" spans="1:25" x14ac:dyDescent="0.35">
      <c r="A47" s="963"/>
      <c r="B47" s="964"/>
      <c r="C47" s="965"/>
      <c r="D47" s="963"/>
      <c r="E47" s="964"/>
      <c r="F47" s="965"/>
      <c r="G47" s="963"/>
      <c r="H47" s="964"/>
      <c r="I47" s="965"/>
      <c r="J47" s="963"/>
      <c r="K47" s="964"/>
      <c r="L47" s="965"/>
      <c r="M47" s="963"/>
      <c r="N47" s="964"/>
      <c r="O47" s="965"/>
      <c r="P47" s="963"/>
      <c r="Q47" s="964"/>
      <c r="R47" s="965"/>
      <c r="S47" s="963"/>
      <c r="T47" s="964"/>
      <c r="U47" s="965"/>
    </row>
    <row r="48" spans="1:25" x14ac:dyDescent="0.35">
      <c r="A48" s="963"/>
      <c r="B48" s="964"/>
      <c r="C48" s="965"/>
      <c r="D48" s="963"/>
      <c r="E48" s="964"/>
      <c r="F48" s="965"/>
      <c r="G48" s="963"/>
      <c r="H48" s="964"/>
      <c r="I48" s="965"/>
      <c r="J48" s="963"/>
      <c r="K48" s="964"/>
      <c r="L48" s="965"/>
      <c r="M48" s="963"/>
      <c r="N48" s="964"/>
      <c r="O48" s="965"/>
      <c r="P48" s="963"/>
      <c r="Q48" s="964"/>
      <c r="R48" s="965"/>
      <c r="S48" s="963"/>
      <c r="T48" s="964"/>
      <c r="U48" s="965"/>
    </row>
    <row r="49" spans="1:28" x14ac:dyDescent="0.35">
      <c r="A49" s="963"/>
      <c r="B49" s="964"/>
      <c r="C49" s="965"/>
      <c r="D49" s="963"/>
      <c r="E49" s="964"/>
      <c r="F49" s="965"/>
      <c r="G49" s="963"/>
      <c r="H49" s="964"/>
      <c r="I49" s="965"/>
      <c r="J49" s="963"/>
      <c r="K49" s="964"/>
      <c r="L49" s="965"/>
      <c r="M49" s="963"/>
      <c r="N49" s="964"/>
      <c r="O49" s="965"/>
      <c r="P49" s="963"/>
      <c r="Q49" s="964"/>
      <c r="R49" s="965"/>
      <c r="S49" s="963"/>
      <c r="T49" s="964"/>
      <c r="U49" s="965"/>
    </row>
    <row r="50" spans="1:28" x14ac:dyDescent="0.35">
      <c r="A50" s="963"/>
      <c r="B50" s="964"/>
      <c r="C50" s="965"/>
      <c r="D50" s="963"/>
      <c r="E50" s="964"/>
      <c r="F50" s="965"/>
      <c r="G50" s="963"/>
      <c r="H50" s="964"/>
      <c r="I50" s="965"/>
      <c r="J50" s="963"/>
      <c r="K50" s="964"/>
      <c r="L50" s="965"/>
      <c r="M50" s="963"/>
      <c r="N50" s="964"/>
      <c r="O50" s="965"/>
      <c r="P50" s="963"/>
      <c r="Q50" s="964"/>
      <c r="R50" s="965"/>
      <c r="S50" s="963"/>
      <c r="T50" s="964"/>
      <c r="U50" s="965"/>
    </row>
    <row r="51" spans="1:28" x14ac:dyDescent="0.35">
      <c r="A51" s="963"/>
      <c r="B51" s="964"/>
      <c r="C51" s="965"/>
      <c r="D51" s="963"/>
      <c r="E51" s="964"/>
      <c r="F51" s="965"/>
      <c r="G51" s="963"/>
      <c r="H51" s="964"/>
      <c r="I51" s="965"/>
      <c r="J51" s="963"/>
      <c r="K51" s="964"/>
      <c r="L51" s="965"/>
      <c r="M51" s="963"/>
      <c r="N51" s="964"/>
      <c r="O51" s="965"/>
      <c r="P51" s="963"/>
      <c r="Q51" s="964"/>
      <c r="R51" s="965"/>
      <c r="S51" s="963"/>
      <c r="T51" s="964"/>
      <c r="U51" s="965"/>
    </row>
    <row r="52" spans="1:28" x14ac:dyDescent="0.35">
      <c r="A52" s="963"/>
      <c r="B52" s="964"/>
      <c r="C52" s="965"/>
      <c r="D52" s="963"/>
      <c r="E52" s="964"/>
      <c r="F52" s="965"/>
      <c r="G52" s="963"/>
      <c r="H52" s="964"/>
      <c r="I52" s="965"/>
      <c r="J52" s="963"/>
      <c r="K52" s="964"/>
      <c r="L52" s="965"/>
      <c r="M52" s="963"/>
      <c r="N52" s="964"/>
      <c r="O52" s="965"/>
      <c r="P52" s="963"/>
      <c r="Q52" s="964"/>
      <c r="R52" s="965"/>
      <c r="S52" s="963"/>
      <c r="T52" s="964"/>
      <c r="U52" s="965"/>
    </row>
    <row r="53" spans="1:28" x14ac:dyDescent="0.35">
      <c r="A53" s="963"/>
      <c r="B53" s="964"/>
      <c r="C53" s="965"/>
      <c r="D53" s="963"/>
      <c r="E53" s="964"/>
      <c r="F53" s="965"/>
      <c r="G53" s="963"/>
      <c r="H53" s="964"/>
      <c r="I53" s="965"/>
      <c r="J53" s="963"/>
      <c r="K53" s="964"/>
      <c r="L53" s="965"/>
      <c r="M53" s="963"/>
      <c r="N53" s="964"/>
      <c r="O53" s="965"/>
      <c r="P53" s="963"/>
      <c r="Q53" s="964"/>
      <c r="R53" s="965"/>
      <c r="S53" s="963"/>
      <c r="T53" s="964"/>
      <c r="U53" s="965"/>
    </row>
    <row r="54" spans="1:28" x14ac:dyDescent="0.35">
      <c r="A54" s="963"/>
      <c r="B54" s="964"/>
      <c r="C54" s="965"/>
      <c r="D54" s="963"/>
      <c r="E54" s="964"/>
      <c r="F54" s="965"/>
      <c r="G54" s="963"/>
      <c r="H54" s="964"/>
      <c r="I54" s="965"/>
      <c r="J54" s="963"/>
      <c r="K54" s="964"/>
      <c r="L54" s="965"/>
      <c r="M54" s="963"/>
      <c r="N54" s="964"/>
      <c r="O54" s="965"/>
      <c r="P54" s="963"/>
      <c r="Q54" s="964"/>
      <c r="R54" s="965"/>
      <c r="S54" s="963"/>
      <c r="T54" s="964"/>
      <c r="U54" s="965"/>
    </row>
    <row r="55" spans="1:28" ht="96" customHeight="1" thickBot="1" x14ac:dyDescent="0.4">
      <c r="A55" s="963"/>
      <c r="B55" s="964"/>
      <c r="C55" s="965"/>
      <c r="D55" s="963"/>
      <c r="E55" s="964"/>
      <c r="F55" s="965"/>
      <c r="G55" s="963"/>
      <c r="H55" s="964"/>
      <c r="I55" s="965"/>
      <c r="J55" s="963"/>
      <c r="K55" s="964"/>
      <c r="L55" s="965"/>
      <c r="M55" s="963"/>
      <c r="N55" s="964"/>
      <c r="O55" s="965"/>
      <c r="P55" s="963"/>
      <c r="Q55" s="964"/>
      <c r="R55" s="965"/>
      <c r="S55" s="996"/>
      <c r="T55" s="997"/>
      <c r="U55" s="998"/>
    </row>
    <row r="56" spans="1:28" ht="16" thickBot="1" x14ac:dyDescent="0.4">
      <c r="A56" s="996"/>
      <c r="B56" s="997"/>
      <c r="C56" s="998"/>
      <c r="D56" s="996"/>
      <c r="E56" s="997"/>
      <c r="F56" s="998"/>
      <c r="G56" s="996"/>
      <c r="H56" s="997"/>
      <c r="I56" s="998"/>
      <c r="J56" s="996"/>
      <c r="K56" s="997"/>
      <c r="L56" s="998"/>
      <c r="M56" s="996"/>
      <c r="N56" s="997"/>
      <c r="O56" s="998"/>
      <c r="P56" s="996"/>
      <c r="Q56" s="997"/>
      <c r="R56" s="998"/>
      <c r="S56" s="999">
        <v>1100000000</v>
      </c>
      <c r="T56" s="1000"/>
      <c r="U56" s="1001"/>
    </row>
    <row r="57" spans="1:28" ht="14.4" customHeight="1" x14ac:dyDescent="0.35">
      <c r="A57" s="966" t="s">
        <v>604</v>
      </c>
      <c r="B57" s="967"/>
      <c r="C57" s="968"/>
      <c r="D57" s="960" t="s">
        <v>606</v>
      </c>
      <c r="E57" s="961"/>
      <c r="F57" s="962"/>
      <c r="G57" s="1011" t="s">
        <v>605</v>
      </c>
      <c r="H57" s="1012"/>
      <c r="I57" s="1013"/>
      <c r="J57" s="1002" t="s">
        <v>608</v>
      </c>
      <c r="K57" s="1003"/>
      <c r="L57" s="1004"/>
      <c r="M57" s="960" t="s">
        <v>607</v>
      </c>
      <c r="N57" s="961"/>
      <c r="O57" s="962"/>
      <c r="P57" s="960" t="s">
        <v>603</v>
      </c>
      <c r="Q57" s="961"/>
      <c r="R57" s="962"/>
      <c r="S57" s="984" t="s">
        <v>609</v>
      </c>
      <c r="T57" s="1020"/>
      <c r="U57" s="1021"/>
    </row>
    <row r="58" spans="1:28" x14ac:dyDescent="0.35">
      <c r="A58" s="969"/>
      <c r="B58" s="970"/>
      <c r="C58" s="971"/>
      <c r="D58" s="963"/>
      <c r="E58" s="964"/>
      <c r="F58" s="965"/>
      <c r="G58" s="1014"/>
      <c r="H58" s="1015"/>
      <c r="I58" s="1016"/>
      <c r="J58" s="1005"/>
      <c r="K58" s="1006"/>
      <c r="L58" s="1007"/>
      <c r="M58" s="963"/>
      <c r="N58" s="964"/>
      <c r="O58" s="965"/>
      <c r="P58" s="963"/>
      <c r="Q58" s="964"/>
      <c r="R58" s="965"/>
      <c r="S58" s="1022"/>
      <c r="T58" s="1023"/>
      <c r="U58" s="1024"/>
      <c r="W58" s="714">
        <v>247379012.76595744</v>
      </c>
    </row>
    <row r="59" spans="1:28" x14ac:dyDescent="0.35">
      <c r="A59" s="969"/>
      <c r="B59" s="970"/>
      <c r="C59" s="971"/>
      <c r="D59" s="963"/>
      <c r="E59" s="964"/>
      <c r="F59" s="965"/>
      <c r="G59" s="1014"/>
      <c r="H59" s="1015"/>
      <c r="I59" s="1016"/>
      <c r="J59" s="1005"/>
      <c r="K59" s="1006"/>
      <c r="L59" s="1007"/>
      <c r="M59" s="963"/>
      <c r="N59" s="964"/>
      <c r="O59" s="965"/>
      <c r="P59" s="963"/>
      <c r="Q59" s="964"/>
      <c r="R59" s="965"/>
      <c r="S59" s="1022"/>
      <c r="T59" s="1023"/>
      <c r="U59" s="1024"/>
      <c r="W59" s="714">
        <v>402410217.39130437</v>
      </c>
    </row>
    <row r="60" spans="1:28" x14ac:dyDescent="0.35">
      <c r="A60" s="969"/>
      <c r="B60" s="970"/>
      <c r="C60" s="971"/>
      <c r="D60" s="963"/>
      <c r="E60" s="964"/>
      <c r="F60" s="965"/>
      <c r="G60" s="1014"/>
      <c r="H60" s="1015"/>
      <c r="I60" s="1016"/>
      <c r="J60" s="1005"/>
      <c r="K60" s="1006"/>
      <c r="L60" s="1007"/>
      <c r="M60" s="963"/>
      <c r="N60" s="964"/>
      <c r="O60" s="965"/>
      <c r="P60" s="963"/>
      <c r="Q60" s="964"/>
      <c r="R60" s="965"/>
      <c r="S60" s="1022"/>
      <c r="T60" s="1023"/>
      <c r="U60" s="1024"/>
      <c r="W60" s="714">
        <v>327427578.21552724</v>
      </c>
    </row>
    <row r="61" spans="1:28" x14ac:dyDescent="0.35">
      <c r="A61" s="969"/>
      <c r="B61" s="970"/>
      <c r="C61" s="971"/>
      <c r="D61" s="963"/>
      <c r="E61" s="964"/>
      <c r="F61" s="965"/>
      <c r="G61" s="1014"/>
      <c r="H61" s="1015"/>
      <c r="I61" s="1016"/>
      <c r="J61" s="1005"/>
      <c r="K61" s="1006"/>
      <c r="L61" s="1007"/>
      <c r="M61" s="963"/>
      <c r="N61" s="964"/>
      <c r="O61" s="965"/>
      <c r="P61" s="963"/>
      <c r="Q61" s="964"/>
      <c r="R61" s="965"/>
      <c r="S61" s="1022"/>
      <c r="T61" s="1023"/>
      <c r="U61" s="1024"/>
      <c r="W61" s="714">
        <v>280800000</v>
      </c>
      <c r="AB61" s="529"/>
    </row>
    <row r="62" spans="1:28" x14ac:dyDescent="0.35">
      <c r="A62" s="969"/>
      <c r="B62" s="970"/>
      <c r="C62" s="971"/>
      <c r="D62" s="963"/>
      <c r="E62" s="964"/>
      <c r="F62" s="965"/>
      <c r="G62" s="1014"/>
      <c r="H62" s="1015"/>
      <c r="I62" s="1016"/>
      <c r="J62" s="1005"/>
      <c r="K62" s="1006"/>
      <c r="L62" s="1007"/>
      <c r="M62" s="963"/>
      <c r="N62" s="964"/>
      <c r="O62" s="965"/>
      <c r="P62" s="963"/>
      <c r="Q62" s="964"/>
      <c r="R62" s="965"/>
      <c r="S62" s="1022"/>
      <c r="T62" s="1023"/>
      <c r="U62" s="1024"/>
      <c r="W62" s="714"/>
      <c r="AB62" s="529"/>
    </row>
    <row r="63" spans="1:28" x14ac:dyDescent="0.35">
      <c r="A63" s="969"/>
      <c r="B63" s="970"/>
      <c r="C63" s="971"/>
      <c r="D63" s="963"/>
      <c r="E63" s="964"/>
      <c r="F63" s="965"/>
      <c r="G63" s="1014"/>
      <c r="H63" s="1015"/>
      <c r="I63" s="1016"/>
      <c r="J63" s="1005"/>
      <c r="K63" s="1006"/>
      <c r="L63" s="1007"/>
      <c r="M63" s="963"/>
      <c r="N63" s="964"/>
      <c r="O63" s="965"/>
      <c r="P63" s="963"/>
      <c r="Q63" s="964"/>
      <c r="R63" s="965"/>
      <c r="S63" s="1022"/>
      <c r="T63" s="1023"/>
      <c r="U63" s="1024"/>
      <c r="W63" s="714"/>
      <c r="AB63" s="529"/>
    </row>
    <row r="64" spans="1:28" x14ac:dyDescent="0.35">
      <c r="A64" s="969"/>
      <c r="B64" s="970"/>
      <c r="C64" s="971"/>
      <c r="D64" s="963"/>
      <c r="E64" s="964"/>
      <c r="F64" s="965"/>
      <c r="G64" s="1014"/>
      <c r="H64" s="1015"/>
      <c r="I64" s="1016"/>
      <c r="J64" s="1005"/>
      <c r="K64" s="1006"/>
      <c r="L64" s="1007"/>
      <c r="M64" s="963"/>
      <c r="N64" s="964"/>
      <c r="O64" s="965"/>
      <c r="P64" s="963"/>
      <c r="Q64" s="964"/>
      <c r="R64" s="965"/>
      <c r="S64" s="1022"/>
      <c r="T64" s="1023"/>
      <c r="U64" s="1024"/>
      <c r="AB64" s="529"/>
    </row>
    <row r="65" spans="1:25" ht="48" customHeight="1" thickBot="1" x14ac:dyDescent="0.4">
      <c r="A65" s="969"/>
      <c r="B65" s="970"/>
      <c r="C65" s="971"/>
      <c r="D65" s="963"/>
      <c r="E65" s="964"/>
      <c r="F65" s="965"/>
      <c r="G65" s="1014"/>
      <c r="H65" s="1015"/>
      <c r="I65" s="1016"/>
      <c r="J65" s="1005"/>
      <c r="K65" s="1006"/>
      <c r="L65" s="1007"/>
      <c r="M65" s="963"/>
      <c r="N65" s="964"/>
      <c r="O65" s="965"/>
      <c r="P65" s="963"/>
      <c r="Q65" s="964"/>
      <c r="R65" s="965"/>
      <c r="S65" s="1025"/>
      <c r="T65" s="1026"/>
      <c r="U65" s="1027"/>
      <c r="Y65" s="529">
        <f>W65*V65</f>
        <v>0</v>
      </c>
    </row>
    <row r="66" spans="1:25" ht="16" thickBot="1" x14ac:dyDescent="0.4">
      <c r="A66" s="981"/>
      <c r="B66" s="982"/>
      <c r="C66" s="983"/>
      <c r="D66" s="996"/>
      <c r="E66" s="997"/>
      <c r="F66" s="998"/>
      <c r="G66" s="1017"/>
      <c r="H66" s="1018"/>
      <c r="I66" s="1019"/>
      <c r="J66" s="1008"/>
      <c r="K66" s="1009"/>
      <c r="L66" s="1010"/>
      <c r="M66" s="996"/>
      <c r="N66" s="997"/>
      <c r="O66" s="998"/>
      <c r="P66" s="996"/>
      <c r="Q66" s="997"/>
      <c r="R66" s="998"/>
      <c r="S66" s="999">
        <f>SUM(W58:W61)</f>
        <v>1258016808.3727891</v>
      </c>
      <c r="T66" s="1000"/>
      <c r="U66" s="1001"/>
      <c r="Y66" s="529">
        <f>W66*V66</f>
        <v>0</v>
      </c>
    </row>
    <row r="67" spans="1:25" ht="14.4" customHeight="1" x14ac:dyDescent="0.35">
      <c r="A67" s="960" t="s">
        <v>612</v>
      </c>
      <c r="B67" s="961"/>
      <c r="C67" s="962"/>
      <c r="D67" s="960" t="s">
        <v>610</v>
      </c>
      <c r="E67" s="961"/>
      <c r="F67" s="962"/>
      <c r="G67" s="960" t="s">
        <v>614</v>
      </c>
      <c r="H67" s="961"/>
      <c r="I67" s="962"/>
      <c r="J67" s="960" t="s">
        <v>611</v>
      </c>
      <c r="K67" s="961"/>
      <c r="L67" s="962"/>
      <c r="M67" s="966" t="s">
        <v>607</v>
      </c>
      <c r="N67" s="967"/>
      <c r="O67" s="968"/>
      <c r="P67" s="960" t="s">
        <v>613</v>
      </c>
      <c r="Q67" s="961"/>
      <c r="R67" s="962"/>
      <c r="S67" s="972" t="s">
        <v>615</v>
      </c>
      <c r="T67" s="973"/>
      <c r="U67" s="974"/>
      <c r="Y67" s="529">
        <f>W67*V67</f>
        <v>0</v>
      </c>
    </row>
    <row r="68" spans="1:25" x14ac:dyDescent="0.35">
      <c r="A68" s="963"/>
      <c r="B68" s="964"/>
      <c r="C68" s="965"/>
      <c r="D68" s="963"/>
      <c r="E68" s="964"/>
      <c r="F68" s="965"/>
      <c r="G68" s="963"/>
      <c r="H68" s="964"/>
      <c r="I68" s="965"/>
      <c r="J68" s="963"/>
      <c r="K68" s="964"/>
      <c r="L68" s="965"/>
      <c r="M68" s="969"/>
      <c r="N68" s="970"/>
      <c r="O68" s="971"/>
      <c r="P68" s="963"/>
      <c r="Q68" s="964"/>
      <c r="R68" s="965"/>
      <c r="S68" s="975"/>
      <c r="T68" s="976"/>
      <c r="U68" s="977"/>
      <c r="Y68" s="529">
        <f>W68*V68</f>
        <v>0</v>
      </c>
    </row>
    <row r="69" spans="1:25" x14ac:dyDescent="0.35">
      <c r="A69" s="963"/>
      <c r="B69" s="964"/>
      <c r="C69" s="965"/>
      <c r="D69" s="963"/>
      <c r="E69" s="964"/>
      <c r="F69" s="965"/>
      <c r="G69" s="963"/>
      <c r="H69" s="964"/>
      <c r="I69" s="965"/>
      <c r="J69" s="963"/>
      <c r="K69" s="964"/>
      <c r="L69" s="965"/>
      <c r="M69" s="969"/>
      <c r="N69" s="970"/>
      <c r="O69" s="971"/>
      <c r="P69" s="963"/>
      <c r="Q69" s="964"/>
      <c r="R69" s="965"/>
      <c r="S69" s="975"/>
      <c r="T69" s="976"/>
      <c r="U69" s="977"/>
    </row>
    <row r="70" spans="1:25" x14ac:dyDescent="0.35">
      <c r="A70" s="963"/>
      <c r="B70" s="964"/>
      <c r="C70" s="965"/>
      <c r="D70" s="963"/>
      <c r="E70" s="964"/>
      <c r="F70" s="965"/>
      <c r="G70" s="963"/>
      <c r="H70" s="964"/>
      <c r="I70" s="965"/>
      <c r="J70" s="963"/>
      <c r="K70" s="964"/>
      <c r="L70" s="965"/>
      <c r="M70" s="969"/>
      <c r="N70" s="970"/>
      <c r="O70" s="971"/>
      <c r="P70" s="963"/>
      <c r="Q70" s="964"/>
      <c r="R70" s="965"/>
      <c r="S70" s="975"/>
      <c r="T70" s="976"/>
      <c r="U70" s="977"/>
    </row>
    <row r="71" spans="1:25" x14ac:dyDescent="0.35">
      <c r="A71" s="963"/>
      <c r="B71" s="964"/>
      <c r="C71" s="965"/>
      <c r="D71" s="963"/>
      <c r="E71" s="964"/>
      <c r="F71" s="965"/>
      <c r="G71" s="963"/>
      <c r="H71" s="964"/>
      <c r="I71" s="965"/>
      <c r="J71" s="963"/>
      <c r="K71" s="964"/>
      <c r="L71" s="965"/>
      <c r="M71" s="969"/>
      <c r="N71" s="970"/>
      <c r="O71" s="971"/>
      <c r="P71" s="963"/>
      <c r="Q71" s="964"/>
      <c r="R71" s="965"/>
      <c r="S71" s="975"/>
      <c r="T71" s="976"/>
      <c r="U71" s="977"/>
    </row>
    <row r="72" spans="1:25" x14ac:dyDescent="0.35">
      <c r="A72" s="963"/>
      <c r="B72" s="964"/>
      <c r="C72" s="965"/>
      <c r="D72" s="963"/>
      <c r="E72" s="964"/>
      <c r="F72" s="965"/>
      <c r="G72" s="963"/>
      <c r="H72" s="964"/>
      <c r="I72" s="965"/>
      <c r="J72" s="963"/>
      <c r="K72" s="964"/>
      <c r="L72" s="965"/>
      <c r="M72" s="969"/>
      <c r="N72" s="970"/>
      <c r="O72" s="971"/>
      <c r="P72" s="963"/>
      <c r="Q72" s="964"/>
      <c r="R72" s="965"/>
      <c r="S72" s="975"/>
      <c r="T72" s="976"/>
      <c r="U72" s="977"/>
    </row>
    <row r="73" spans="1:25" ht="139.25" customHeight="1" thickBot="1" x14ac:dyDescent="0.4">
      <c r="A73" s="963"/>
      <c r="B73" s="964"/>
      <c r="C73" s="965"/>
      <c r="D73" s="963"/>
      <c r="E73" s="964"/>
      <c r="F73" s="965"/>
      <c r="G73" s="963"/>
      <c r="H73" s="964"/>
      <c r="I73" s="965"/>
      <c r="J73" s="963"/>
      <c r="K73" s="964"/>
      <c r="L73" s="965"/>
      <c r="M73" s="969"/>
      <c r="N73" s="970"/>
      <c r="O73" s="971"/>
      <c r="P73" s="963"/>
      <c r="Q73" s="964"/>
      <c r="R73" s="965"/>
      <c r="S73" s="978"/>
      <c r="T73" s="979"/>
      <c r="U73" s="980"/>
    </row>
    <row r="74" spans="1:25" ht="15" thickBot="1" x14ac:dyDescent="0.4">
      <c r="A74" s="963"/>
      <c r="B74" s="964"/>
      <c r="C74" s="965"/>
      <c r="D74" s="963"/>
      <c r="E74" s="964"/>
      <c r="F74" s="965"/>
      <c r="G74" s="963"/>
      <c r="H74" s="964"/>
      <c r="I74" s="965"/>
      <c r="J74" s="963"/>
      <c r="K74" s="964"/>
      <c r="L74" s="965"/>
      <c r="M74" s="969"/>
      <c r="N74" s="970"/>
      <c r="O74" s="971"/>
      <c r="P74" s="963"/>
      <c r="Q74" s="964"/>
      <c r="R74" s="965"/>
      <c r="S74" s="957">
        <f>5000000*100</f>
        <v>500000000</v>
      </c>
      <c r="T74" s="958"/>
      <c r="U74" s="959"/>
    </row>
    <row r="75" spans="1:25" ht="14.4" customHeight="1" x14ac:dyDescent="0.35">
      <c r="A75" s="966" t="s">
        <v>616</v>
      </c>
      <c r="B75" s="967"/>
      <c r="C75" s="968"/>
      <c r="D75" s="984" t="s">
        <v>617</v>
      </c>
      <c r="E75" s="985"/>
      <c r="F75" s="986"/>
      <c r="G75" s="966" t="s">
        <v>521</v>
      </c>
      <c r="H75" s="967"/>
      <c r="I75" s="968"/>
      <c r="J75" s="984" t="s">
        <v>618</v>
      </c>
      <c r="K75" s="985"/>
      <c r="L75" s="986"/>
      <c r="M75" s="984" t="s">
        <v>607</v>
      </c>
      <c r="N75" s="985"/>
      <c r="O75" s="986"/>
      <c r="P75" s="966" t="s">
        <v>619</v>
      </c>
      <c r="Q75" s="967"/>
      <c r="R75" s="968"/>
      <c r="S75" s="717"/>
      <c r="T75" s="718"/>
      <c r="U75" s="719"/>
    </row>
    <row r="76" spans="1:25" ht="0.65" customHeight="1" x14ac:dyDescent="0.35">
      <c r="A76" s="969"/>
      <c r="B76" s="970"/>
      <c r="C76" s="971"/>
      <c r="D76" s="987"/>
      <c r="E76" s="988"/>
      <c r="F76" s="989"/>
      <c r="G76" s="969"/>
      <c r="H76" s="970"/>
      <c r="I76" s="971"/>
      <c r="J76" s="987"/>
      <c r="K76" s="988"/>
      <c r="L76" s="989"/>
      <c r="M76" s="987"/>
      <c r="N76" s="988"/>
      <c r="O76" s="989"/>
      <c r="P76" s="969"/>
      <c r="Q76" s="970"/>
      <c r="R76" s="971"/>
      <c r="S76" s="720"/>
      <c r="T76" s="721"/>
      <c r="U76" s="722"/>
    </row>
    <row r="77" spans="1:25" ht="13.75" customHeight="1" x14ac:dyDescent="0.35">
      <c r="A77" s="969"/>
      <c r="B77" s="970"/>
      <c r="C77" s="971"/>
      <c r="D77" s="987"/>
      <c r="E77" s="988"/>
      <c r="F77" s="989"/>
      <c r="G77" s="969"/>
      <c r="H77" s="970"/>
      <c r="I77" s="971"/>
      <c r="J77" s="987"/>
      <c r="K77" s="988"/>
      <c r="L77" s="989"/>
      <c r="M77" s="987"/>
      <c r="N77" s="988"/>
      <c r="O77" s="989"/>
      <c r="P77" s="969"/>
      <c r="Q77" s="970"/>
      <c r="R77" s="971"/>
      <c r="S77" s="720"/>
      <c r="T77" s="721"/>
      <c r="U77" s="722"/>
    </row>
    <row r="78" spans="1:25" ht="15" thickBot="1" x14ac:dyDescent="0.4">
      <c r="A78" s="969"/>
      <c r="B78" s="970"/>
      <c r="C78" s="971"/>
      <c r="D78" s="987"/>
      <c r="E78" s="988"/>
      <c r="F78" s="989"/>
      <c r="G78" s="969"/>
      <c r="H78" s="970"/>
      <c r="I78" s="971"/>
      <c r="J78" s="987"/>
      <c r="K78" s="988"/>
      <c r="L78" s="989"/>
      <c r="M78" s="987"/>
      <c r="N78" s="988"/>
      <c r="O78" s="989"/>
      <c r="P78" s="969"/>
      <c r="Q78" s="970"/>
      <c r="R78" s="971"/>
      <c r="S78" s="720"/>
      <c r="T78" s="721"/>
      <c r="U78" s="722"/>
    </row>
    <row r="79" spans="1:25" ht="15" thickBot="1" x14ac:dyDescent="0.4">
      <c r="A79" s="969"/>
      <c r="B79" s="970"/>
      <c r="C79" s="971"/>
      <c r="D79" s="987"/>
      <c r="E79" s="988"/>
      <c r="F79" s="989"/>
      <c r="G79" s="969"/>
      <c r="H79" s="970"/>
      <c r="I79" s="971"/>
      <c r="J79" s="987"/>
      <c r="K79" s="988"/>
      <c r="L79" s="989"/>
      <c r="M79" s="987"/>
      <c r="N79" s="988"/>
      <c r="O79" s="989"/>
      <c r="P79" s="969"/>
      <c r="Q79" s="970"/>
      <c r="R79" s="971"/>
      <c r="S79" s="747"/>
      <c r="T79" s="721"/>
      <c r="U79" s="722"/>
    </row>
    <row r="80" spans="1:25" x14ac:dyDescent="0.35">
      <c r="A80" s="969"/>
      <c r="B80" s="970"/>
      <c r="C80" s="971"/>
      <c r="D80" s="987"/>
      <c r="E80" s="988"/>
      <c r="F80" s="989"/>
      <c r="G80" s="969"/>
      <c r="H80" s="970"/>
      <c r="I80" s="971"/>
      <c r="J80" s="987"/>
      <c r="K80" s="988"/>
      <c r="L80" s="989"/>
      <c r="M80" s="987"/>
      <c r="N80" s="988"/>
      <c r="O80" s="989"/>
      <c r="P80" s="969"/>
      <c r="Q80" s="970"/>
      <c r="R80" s="971"/>
      <c r="S80" s="720"/>
      <c r="T80" s="721"/>
      <c r="U80" s="722"/>
    </row>
    <row r="81" spans="1:21" x14ac:dyDescent="0.35">
      <c r="A81" s="969"/>
      <c r="B81" s="970"/>
      <c r="C81" s="971"/>
      <c r="D81" s="987"/>
      <c r="E81" s="988"/>
      <c r="F81" s="989"/>
      <c r="G81" s="969"/>
      <c r="H81" s="970"/>
      <c r="I81" s="971"/>
      <c r="J81" s="987"/>
      <c r="K81" s="988"/>
      <c r="L81" s="989"/>
      <c r="M81" s="987"/>
      <c r="N81" s="988"/>
      <c r="O81" s="989"/>
      <c r="P81" s="969"/>
      <c r="Q81" s="970"/>
      <c r="R81" s="971"/>
      <c r="S81" s="720"/>
      <c r="T81" s="721"/>
      <c r="U81" s="722"/>
    </row>
    <row r="82" spans="1:21" ht="22.25" customHeight="1" thickBot="1" x14ac:dyDescent="0.4">
      <c r="A82" s="969"/>
      <c r="B82" s="970"/>
      <c r="C82" s="971"/>
      <c r="D82" s="987"/>
      <c r="E82" s="988"/>
      <c r="F82" s="989"/>
      <c r="G82" s="969"/>
      <c r="H82" s="970"/>
      <c r="I82" s="971"/>
      <c r="J82" s="987"/>
      <c r="K82" s="988"/>
      <c r="L82" s="989"/>
      <c r="M82" s="987"/>
      <c r="N82" s="988"/>
      <c r="O82" s="989"/>
      <c r="P82" s="969"/>
      <c r="Q82" s="970"/>
      <c r="R82" s="971"/>
      <c r="S82" s="723"/>
      <c r="T82" s="724"/>
      <c r="U82" s="725">
        <v>1130280000</v>
      </c>
    </row>
    <row r="83" spans="1:21" ht="14.4" hidden="1" customHeight="1" x14ac:dyDescent="0.35">
      <c r="A83" s="969"/>
      <c r="B83" s="970"/>
      <c r="C83" s="971"/>
      <c r="D83" s="987"/>
      <c r="E83" s="988"/>
      <c r="F83" s="989"/>
      <c r="G83" s="969"/>
      <c r="H83" s="970"/>
      <c r="I83" s="971"/>
      <c r="J83" s="987"/>
      <c r="K83" s="988"/>
      <c r="L83" s="989"/>
      <c r="M83" s="987"/>
      <c r="N83" s="988"/>
      <c r="O83" s="989"/>
      <c r="P83" s="969"/>
      <c r="Q83" s="970"/>
      <c r="R83" s="971"/>
      <c r="S83" s="721"/>
      <c r="T83" s="721"/>
      <c r="U83" s="722"/>
    </row>
    <row r="84" spans="1:21" ht="14.4" hidden="1" customHeight="1" x14ac:dyDescent="0.35">
      <c r="A84" s="969"/>
      <c r="B84" s="970"/>
      <c r="C84" s="971"/>
      <c r="D84" s="987"/>
      <c r="E84" s="988"/>
      <c r="F84" s="989"/>
      <c r="G84" s="969"/>
      <c r="H84" s="970"/>
      <c r="I84" s="971"/>
      <c r="J84" s="987"/>
      <c r="K84" s="988"/>
      <c r="L84" s="989"/>
      <c r="M84" s="987"/>
      <c r="N84" s="988"/>
      <c r="O84" s="989"/>
      <c r="P84" s="969"/>
      <c r="Q84" s="970"/>
      <c r="R84" s="971"/>
      <c r="S84" s="721"/>
      <c r="T84" s="721"/>
      <c r="U84" s="722"/>
    </row>
    <row r="85" spans="1:21" ht="15" hidden="1" customHeight="1" thickBot="1" x14ac:dyDescent="0.4">
      <c r="A85" s="981"/>
      <c r="B85" s="982"/>
      <c r="C85" s="983"/>
      <c r="D85" s="990"/>
      <c r="E85" s="991"/>
      <c r="F85" s="992"/>
      <c r="G85" s="981"/>
      <c r="H85" s="982"/>
      <c r="I85" s="983"/>
      <c r="J85" s="990"/>
      <c r="K85" s="991"/>
      <c r="L85" s="992"/>
      <c r="M85" s="990"/>
      <c r="N85" s="991"/>
      <c r="O85" s="992"/>
      <c r="P85" s="981"/>
      <c r="Q85" s="982"/>
      <c r="R85" s="983"/>
      <c r="S85" s="724"/>
      <c r="T85" s="724"/>
      <c r="U85" s="725"/>
    </row>
    <row r="89" spans="1:21" ht="15" thickBot="1" x14ac:dyDescent="0.4"/>
    <row r="90" spans="1:21" ht="15" thickBot="1" x14ac:dyDescent="0.4">
      <c r="A90" s="715"/>
      <c r="B90" s="716"/>
      <c r="C90" s="716"/>
      <c r="D90" s="716"/>
      <c r="E90" s="716"/>
      <c r="F90" s="716"/>
      <c r="G90" s="716"/>
      <c r="H90" s="716"/>
      <c r="I90" s="716"/>
      <c r="J90" s="716"/>
      <c r="K90" s="716"/>
      <c r="L90" s="716"/>
      <c r="M90" s="716"/>
      <c r="N90" s="716"/>
      <c r="O90" s="716"/>
      <c r="P90" s="716"/>
      <c r="Q90" s="716"/>
      <c r="R90" s="716"/>
      <c r="S90" s="954">
        <f>SUM(U82,S74,S66,S56,S45,S36,S25,S13)</f>
        <v>6363296808.3727894</v>
      </c>
      <c r="T90" s="955"/>
      <c r="U90" s="956"/>
    </row>
  </sheetData>
  <mergeCells count="70">
    <mergeCell ref="S3:U4"/>
    <mergeCell ref="A3:C4"/>
    <mergeCell ref="A5:C13"/>
    <mergeCell ref="D5:F13"/>
    <mergeCell ref="G5:I13"/>
    <mergeCell ref="J5:L13"/>
    <mergeCell ref="M5:O13"/>
    <mergeCell ref="P5:R13"/>
    <mergeCell ref="S5:U12"/>
    <mergeCell ref="D3:F4"/>
    <mergeCell ref="G3:I4"/>
    <mergeCell ref="J3:L4"/>
    <mergeCell ref="M3:O4"/>
    <mergeCell ref="P3:R4"/>
    <mergeCell ref="S13:U13"/>
    <mergeCell ref="P26:R36"/>
    <mergeCell ref="A14:C25"/>
    <mergeCell ref="D14:F25"/>
    <mergeCell ref="G14:I25"/>
    <mergeCell ref="J14:L25"/>
    <mergeCell ref="M14:O25"/>
    <mergeCell ref="P14:R25"/>
    <mergeCell ref="A26:C36"/>
    <mergeCell ref="D26:F36"/>
    <mergeCell ref="G26:I36"/>
    <mergeCell ref="J26:L36"/>
    <mergeCell ref="M26:O36"/>
    <mergeCell ref="A46:C56"/>
    <mergeCell ref="D46:F56"/>
    <mergeCell ref="A57:C66"/>
    <mergeCell ref="S46:U55"/>
    <mergeCell ref="S45:U45"/>
    <mergeCell ref="G46:I56"/>
    <mergeCell ref="A37:C45"/>
    <mergeCell ref="D37:F45"/>
    <mergeCell ref="G37:I45"/>
    <mergeCell ref="J37:L45"/>
    <mergeCell ref="M37:O45"/>
    <mergeCell ref="P37:R45"/>
    <mergeCell ref="S14:U24"/>
    <mergeCell ref="S25:U25"/>
    <mergeCell ref="S26:U35"/>
    <mergeCell ref="S36:U36"/>
    <mergeCell ref="D57:F66"/>
    <mergeCell ref="J46:L56"/>
    <mergeCell ref="M46:O56"/>
    <mergeCell ref="P46:R56"/>
    <mergeCell ref="S56:U56"/>
    <mergeCell ref="S66:U66"/>
    <mergeCell ref="P57:R66"/>
    <mergeCell ref="M57:O66"/>
    <mergeCell ref="J57:L66"/>
    <mergeCell ref="G57:I66"/>
    <mergeCell ref="S37:U44"/>
    <mergeCell ref="S57:U65"/>
    <mergeCell ref="S90:U90"/>
    <mergeCell ref="S74:U74"/>
    <mergeCell ref="A67:C74"/>
    <mergeCell ref="D67:F74"/>
    <mergeCell ref="G67:I74"/>
    <mergeCell ref="J67:L74"/>
    <mergeCell ref="M67:O74"/>
    <mergeCell ref="P67:R74"/>
    <mergeCell ref="S67:U73"/>
    <mergeCell ref="A75:C85"/>
    <mergeCell ref="G75:I85"/>
    <mergeCell ref="J75:L85"/>
    <mergeCell ref="M75:O85"/>
    <mergeCell ref="P75:R85"/>
    <mergeCell ref="D75:F8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1324-9369-4248-B8A4-C45351BA5EE8}">
  <sheetPr>
    <tabColor theme="9" tint="0.39997558519241921"/>
  </sheetPr>
  <dimension ref="B2:G20"/>
  <sheetViews>
    <sheetView workbookViewId="0">
      <selection sqref="A1:XFD1048576"/>
    </sheetView>
  </sheetViews>
  <sheetFormatPr defaultColWidth="8.90625" defaultRowHeight="13" x14ac:dyDescent="0.3"/>
  <cols>
    <col min="1" max="1" width="4.36328125" style="18" customWidth="1"/>
    <col min="2" max="2" width="11.36328125" style="18" customWidth="1"/>
    <col min="3" max="3" width="9.54296875" style="279" customWidth="1"/>
    <col min="4" max="4" width="7.54296875" style="18" bestFit="1" customWidth="1"/>
    <col min="5" max="5" width="49.08984375" style="18" customWidth="1"/>
    <col min="6" max="6" width="54.08984375" style="18" customWidth="1"/>
    <col min="7" max="7" width="40.90625" style="18" customWidth="1"/>
    <col min="8" max="8" width="19.08984375" style="18" bestFit="1" customWidth="1"/>
    <col min="9" max="9" width="19.54296875" style="18" customWidth="1"/>
    <col min="10" max="16384" width="8.90625" style="18"/>
  </cols>
  <sheetData>
    <row r="2" spans="2:7" ht="13.5" thickBot="1" x14ac:dyDescent="0.35"/>
    <row r="3" spans="2:7" x14ac:dyDescent="0.3">
      <c r="B3" s="282" t="s">
        <v>161</v>
      </c>
      <c r="C3" s="283" t="s">
        <v>91</v>
      </c>
      <c r="D3" s="283" t="s">
        <v>98</v>
      </c>
      <c r="E3" s="283" t="s">
        <v>159</v>
      </c>
      <c r="F3" s="283" t="s">
        <v>295</v>
      </c>
      <c r="G3" s="284" t="s">
        <v>296</v>
      </c>
    </row>
    <row r="4" spans="2:7" ht="39" x14ac:dyDescent="0.3">
      <c r="B4" s="285" t="s">
        <v>85</v>
      </c>
      <c r="C4" s="286">
        <v>15272</v>
      </c>
      <c r="D4" s="287">
        <f>C4/$C$11</f>
        <v>0.44953345303623465</v>
      </c>
      <c r="E4" s="288" t="s">
        <v>211</v>
      </c>
      <c r="F4" s="289" t="s">
        <v>212</v>
      </c>
      <c r="G4" s="290" t="s">
        <v>216</v>
      </c>
    </row>
    <row r="5" spans="2:7" ht="25.25" customHeight="1" x14ac:dyDescent="0.3">
      <c r="B5" s="285" t="s">
        <v>86</v>
      </c>
      <c r="C5" s="286">
        <v>2248</v>
      </c>
      <c r="D5" s="287">
        <f t="shared" ref="D5:D10" si="0">C5/$C$11</f>
        <v>6.617019397757043E-2</v>
      </c>
      <c r="E5" s="288" t="s">
        <v>202</v>
      </c>
      <c r="F5" s="291" t="s">
        <v>206</v>
      </c>
      <c r="G5" s="292"/>
    </row>
    <row r="6" spans="2:7" ht="17.25" customHeight="1" x14ac:dyDescent="0.3">
      <c r="B6" s="285" t="s">
        <v>24</v>
      </c>
      <c r="C6" s="286">
        <v>9087</v>
      </c>
      <c r="D6" s="287">
        <f t="shared" si="0"/>
        <v>0.26747711417890679</v>
      </c>
      <c r="E6" s="288" t="s">
        <v>203</v>
      </c>
      <c r="F6" s="291" t="s">
        <v>207</v>
      </c>
      <c r="G6" s="292" t="s">
        <v>214</v>
      </c>
    </row>
    <row r="7" spans="2:7" ht="39" x14ac:dyDescent="0.3">
      <c r="B7" s="285" t="s">
        <v>67</v>
      </c>
      <c r="C7" s="286">
        <v>5326</v>
      </c>
      <c r="D7" s="287">
        <f t="shared" si="0"/>
        <v>0.15677155388102318</v>
      </c>
      <c r="E7" s="288" t="s">
        <v>205</v>
      </c>
      <c r="F7" s="289" t="s">
        <v>208</v>
      </c>
      <c r="G7" s="290" t="s">
        <v>216</v>
      </c>
    </row>
    <row r="8" spans="2:7" ht="39" x14ac:dyDescent="0.3">
      <c r="B8" s="285" t="s">
        <v>88</v>
      </c>
      <c r="C8" s="286">
        <v>97</v>
      </c>
      <c r="D8" s="287">
        <f t="shared" si="0"/>
        <v>2.8552085479645601E-3</v>
      </c>
      <c r="E8" s="288" t="s">
        <v>204</v>
      </c>
      <c r="F8" s="289" t="s">
        <v>210</v>
      </c>
      <c r="G8" s="290" t="s">
        <v>213</v>
      </c>
    </row>
    <row r="9" spans="2:7" ht="26" x14ac:dyDescent="0.3">
      <c r="B9" s="285" t="s">
        <v>87</v>
      </c>
      <c r="C9" s="286">
        <v>391</v>
      </c>
      <c r="D9" s="287">
        <f t="shared" si="0"/>
        <v>1.1509139610867454E-2</v>
      </c>
      <c r="E9" s="288" t="s">
        <v>201</v>
      </c>
      <c r="F9" s="293"/>
      <c r="G9" s="292" t="s">
        <v>215</v>
      </c>
    </row>
    <row r="10" spans="2:7" ht="45" customHeight="1" x14ac:dyDescent="0.3">
      <c r="B10" s="285" t="s">
        <v>89</v>
      </c>
      <c r="C10" s="286">
        <v>1552</v>
      </c>
      <c r="D10" s="287">
        <f t="shared" si="0"/>
        <v>4.5683336767432962E-2</v>
      </c>
      <c r="E10" s="288" t="s">
        <v>200</v>
      </c>
      <c r="F10" s="291" t="s">
        <v>209</v>
      </c>
      <c r="G10" s="290" t="s">
        <v>217</v>
      </c>
    </row>
    <row r="11" spans="2:7" ht="13.5" thickBot="1" x14ac:dyDescent="0.35">
      <c r="B11" s="294" t="s">
        <v>13</v>
      </c>
      <c r="C11" s="295">
        <f>SUM(C4:C10)</f>
        <v>33973</v>
      </c>
      <c r="D11" s="296">
        <f>SUM(D4:D10)</f>
        <v>1</v>
      </c>
      <c r="E11" s="297"/>
      <c r="F11" s="297"/>
      <c r="G11" s="298"/>
    </row>
    <row r="13" spans="2:7" ht="13.5" thickBot="1" x14ac:dyDescent="0.35"/>
    <row r="14" spans="2:7" x14ac:dyDescent="0.3">
      <c r="B14" s="282" t="s">
        <v>265</v>
      </c>
      <c r="C14" s="283" t="s">
        <v>91</v>
      </c>
      <c r="D14" s="283" t="s">
        <v>98</v>
      </c>
      <c r="E14" s="283" t="s">
        <v>159</v>
      </c>
      <c r="F14" s="283" t="s">
        <v>158</v>
      </c>
      <c r="G14" s="284" t="s">
        <v>160</v>
      </c>
    </row>
    <row r="15" spans="2:7" ht="167.4" customHeight="1" x14ac:dyDescent="0.3">
      <c r="B15" s="285" t="s">
        <v>163</v>
      </c>
      <c r="C15" s="286">
        <v>31</v>
      </c>
      <c r="D15" s="299">
        <f>C15/$C$20</f>
        <v>4.9143944197844007E-3</v>
      </c>
      <c r="E15" s="288" t="s">
        <v>288</v>
      </c>
      <c r="F15" s="300" t="s">
        <v>289</v>
      </c>
      <c r="G15" s="290" t="s">
        <v>293</v>
      </c>
    </row>
    <row r="16" spans="2:7" ht="143" x14ac:dyDescent="0.3">
      <c r="B16" s="285" t="s">
        <v>164</v>
      </c>
      <c r="C16" s="286">
        <v>300</v>
      </c>
      <c r="D16" s="299">
        <f>C16/$C$20</f>
        <v>4.7558655675332913E-2</v>
      </c>
      <c r="E16" s="288" t="s">
        <v>288</v>
      </c>
      <c r="F16" s="300" t="s">
        <v>290</v>
      </c>
      <c r="G16" s="290" t="s">
        <v>293</v>
      </c>
    </row>
    <row r="17" spans="2:7" ht="52" x14ac:dyDescent="0.3">
      <c r="B17" s="285" t="s">
        <v>266</v>
      </c>
      <c r="C17" s="301">
        <v>145</v>
      </c>
      <c r="D17" s="299">
        <f t="shared" ref="D17:D19" si="1">C17/$C$20</f>
        <v>2.2986683576410906E-2</v>
      </c>
      <c r="E17" s="288" t="s">
        <v>288</v>
      </c>
      <c r="F17" s="289" t="s">
        <v>291</v>
      </c>
      <c r="G17" s="292"/>
    </row>
    <row r="18" spans="2:7" ht="104" x14ac:dyDescent="0.3">
      <c r="B18" s="285" t="s">
        <v>166</v>
      </c>
      <c r="C18" s="286">
        <v>5829</v>
      </c>
      <c r="D18" s="299">
        <f t="shared" si="1"/>
        <v>0.92406467977171847</v>
      </c>
      <c r="E18" s="288" t="s">
        <v>288</v>
      </c>
      <c r="F18" s="300" t="s">
        <v>294</v>
      </c>
      <c r="G18" s="290" t="s">
        <v>293</v>
      </c>
    </row>
    <row r="19" spans="2:7" ht="26" x14ac:dyDescent="0.3">
      <c r="B19" s="285" t="s">
        <v>267</v>
      </c>
      <c r="C19" s="286">
        <v>3</v>
      </c>
      <c r="D19" s="302">
        <f t="shared" si="1"/>
        <v>4.755865567533291E-4</v>
      </c>
      <c r="E19" s="288" t="s">
        <v>288</v>
      </c>
      <c r="F19" s="289" t="s">
        <v>292</v>
      </c>
      <c r="G19" s="290"/>
    </row>
    <row r="20" spans="2:7" ht="13.5" thickBot="1" x14ac:dyDescent="0.35">
      <c r="B20" s="294" t="s">
        <v>13</v>
      </c>
      <c r="C20" s="295">
        <f>SUM(C15:C19)</f>
        <v>6308</v>
      </c>
      <c r="D20" s="296">
        <f>SUM(D15:D19)</f>
        <v>1</v>
      </c>
      <c r="E20" s="297"/>
      <c r="F20" s="297"/>
      <c r="G20" s="29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3EA2-4290-47D3-8CD5-12150E3F5DE8}">
  <sheetPr>
    <tabColor rgb="FFC00000"/>
  </sheetPr>
  <dimension ref="B1:J12"/>
  <sheetViews>
    <sheetView zoomScale="84" zoomScaleNormal="84" workbookViewId="0">
      <selection activeCell="L5" sqref="L5"/>
    </sheetView>
  </sheetViews>
  <sheetFormatPr defaultColWidth="9.08984375" defaultRowHeight="14.5" x14ac:dyDescent="0.35"/>
  <cols>
    <col min="1" max="1" width="4.36328125" style="11" customWidth="1"/>
    <col min="2" max="2" width="11.453125" style="11" customWidth="1"/>
    <col min="3" max="3" width="18.6328125" style="11" customWidth="1"/>
    <col min="4" max="5" width="22.90625" style="11" customWidth="1"/>
    <col min="6" max="6" width="35.08984375" style="11" customWidth="1"/>
    <col min="7" max="7" width="22.08984375" style="11" customWidth="1"/>
    <col min="8" max="8" width="19.54296875" style="11" customWidth="1"/>
    <col min="9" max="9" width="38.54296875" style="11" customWidth="1"/>
    <col min="10" max="10" width="15.08984375" style="11" customWidth="1"/>
    <col min="11" max="16384" width="9.08984375" style="11"/>
  </cols>
  <sheetData>
    <row r="1" spans="2:10" s="303" customFormat="1" ht="27" thickTop="1" thickBot="1" x14ac:dyDescent="0.4">
      <c r="B1" s="1087" t="s">
        <v>321</v>
      </c>
      <c r="C1" s="1087"/>
      <c r="D1" s="1087"/>
      <c r="E1" s="1087"/>
      <c r="F1" s="1087"/>
      <c r="G1" s="1087"/>
      <c r="H1" s="1087"/>
      <c r="I1" s="1087"/>
    </row>
    <row r="2" spans="2:10" ht="25.5" customHeight="1" x14ac:dyDescent="0.35">
      <c r="B2" s="1088" t="s">
        <v>297</v>
      </c>
      <c r="C2" s="1089"/>
      <c r="D2" s="1089"/>
      <c r="E2" s="1089"/>
      <c r="F2" s="1089"/>
      <c r="G2" s="1089"/>
      <c r="H2" s="1089"/>
      <c r="I2" s="1090"/>
    </row>
    <row r="3" spans="2:10" ht="23.25" customHeight="1" x14ac:dyDescent="0.35">
      <c r="B3" s="697" t="s">
        <v>298</v>
      </c>
      <c r="C3" s="698" t="s">
        <v>299</v>
      </c>
      <c r="D3" s="698" t="s">
        <v>300</v>
      </c>
      <c r="E3" s="698" t="s">
        <v>301</v>
      </c>
      <c r="F3" s="699" t="s">
        <v>328</v>
      </c>
      <c r="G3" s="698" t="s">
        <v>302</v>
      </c>
      <c r="H3" s="698" t="s">
        <v>303</v>
      </c>
      <c r="I3" s="700" t="s">
        <v>322</v>
      </c>
    </row>
    <row r="4" spans="2:10" ht="58" x14ac:dyDescent="0.35">
      <c r="B4" s="309" t="s">
        <v>304</v>
      </c>
      <c r="C4" s="310" t="s">
        <v>305</v>
      </c>
      <c r="D4" s="311" t="s">
        <v>306</v>
      </c>
      <c r="E4" s="311" t="s">
        <v>324</v>
      </c>
      <c r="F4" s="312" t="s">
        <v>329</v>
      </c>
      <c r="G4" s="311" t="s">
        <v>323</v>
      </c>
      <c r="H4" s="311" t="s">
        <v>308</v>
      </c>
      <c r="I4" s="313" t="s">
        <v>333</v>
      </c>
      <c r="J4" s="304"/>
    </row>
    <row r="5" spans="2:10" ht="65" x14ac:dyDescent="0.35">
      <c r="B5" s="309" t="s">
        <v>309</v>
      </c>
      <c r="C5" s="311" t="s">
        <v>310</v>
      </c>
      <c r="D5" s="311" t="s">
        <v>311</v>
      </c>
      <c r="E5" s="311" t="s">
        <v>312</v>
      </c>
      <c r="F5" s="312" t="s">
        <v>330</v>
      </c>
      <c r="G5" s="311" t="s">
        <v>323</v>
      </c>
      <c r="H5" s="311" t="s">
        <v>313</v>
      </c>
      <c r="I5" s="313" t="s">
        <v>334</v>
      </c>
    </row>
    <row r="6" spans="2:10" ht="101.5" x14ac:dyDescent="0.35">
      <c r="B6" s="309" t="s">
        <v>314</v>
      </c>
      <c r="C6" s="311" t="s">
        <v>315</v>
      </c>
      <c r="D6" s="311" t="s">
        <v>316</v>
      </c>
      <c r="E6" s="311" t="s">
        <v>327</v>
      </c>
      <c r="F6" s="312" t="s">
        <v>331</v>
      </c>
      <c r="G6" s="311" t="s">
        <v>317</v>
      </c>
      <c r="H6" s="311" t="s">
        <v>318</v>
      </c>
      <c r="I6" s="313" t="s">
        <v>325</v>
      </c>
    </row>
    <row r="7" spans="2:10" x14ac:dyDescent="0.35">
      <c r="B7" s="314"/>
      <c r="C7" s="315"/>
      <c r="D7" s="315"/>
      <c r="E7" s="315"/>
      <c r="F7" s="315"/>
      <c r="G7" s="315"/>
      <c r="H7" s="315"/>
      <c r="I7" s="316"/>
    </row>
    <row r="8" spans="2:10" x14ac:dyDescent="0.35">
      <c r="B8" s="1091" t="s">
        <v>319</v>
      </c>
      <c r="C8" s="1092"/>
      <c r="D8" s="1092"/>
      <c r="E8" s="1092"/>
      <c r="F8" s="1092"/>
      <c r="G8" s="1092"/>
      <c r="H8" s="1092"/>
      <c r="I8" s="1093"/>
    </row>
    <row r="9" spans="2:10" x14ac:dyDescent="0.35">
      <c r="B9" s="305" t="s">
        <v>298</v>
      </c>
      <c r="C9" s="306" t="s">
        <v>299</v>
      </c>
      <c r="D9" s="306" t="s">
        <v>300</v>
      </c>
      <c r="E9" s="306" t="s">
        <v>301</v>
      </c>
      <c r="F9" s="307" t="s">
        <v>328</v>
      </c>
      <c r="G9" s="306" t="s">
        <v>302</v>
      </c>
      <c r="H9" s="306" t="s">
        <v>303</v>
      </c>
      <c r="I9" s="308" t="s">
        <v>322</v>
      </c>
    </row>
    <row r="10" spans="2:10" ht="58" x14ac:dyDescent="0.35">
      <c r="B10" s="309" t="s">
        <v>304</v>
      </c>
      <c r="C10" s="310" t="s">
        <v>305</v>
      </c>
      <c r="D10" s="311" t="s">
        <v>306</v>
      </c>
      <c r="E10" s="311" t="s">
        <v>307</v>
      </c>
      <c r="F10" s="312" t="s">
        <v>329</v>
      </c>
      <c r="G10" s="311" t="s">
        <v>323</v>
      </c>
      <c r="H10" s="311" t="s">
        <v>308</v>
      </c>
      <c r="I10" s="313" t="s">
        <v>333</v>
      </c>
    </row>
    <row r="11" spans="2:10" ht="65" x14ac:dyDescent="0.35">
      <c r="B11" s="309" t="s">
        <v>309</v>
      </c>
      <c r="C11" s="311" t="s">
        <v>310</v>
      </c>
      <c r="D11" s="311" t="s">
        <v>311</v>
      </c>
      <c r="E11" s="311" t="s">
        <v>320</v>
      </c>
      <c r="F11" s="312" t="s">
        <v>330</v>
      </c>
      <c r="G11" s="311" t="s">
        <v>323</v>
      </c>
      <c r="H11" s="311" t="s">
        <v>313</v>
      </c>
      <c r="I11" s="313" t="s">
        <v>334</v>
      </c>
    </row>
    <row r="12" spans="2:10" ht="87.5" thickBot="1" x14ac:dyDescent="0.4">
      <c r="B12" s="317" t="s">
        <v>314</v>
      </c>
      <c r="C12" s="318" t="s">
        <v>315</v>
      </c>
      <c r="D12" s="318" t="s">
        <v>316</v>
      </c>
      <c r="E12" s="318" t="s">
        <v>326</v>
      </c>
      <c r="F12" s="319" t="s">
        <v>332</v>
      </c>
      <c r="G12" s="318" t="s">
        <v>317</v>
      </c>
      <c r="H12" s="318" t="s">
        <v>318</v>
      </c>
      <c r="I12" s="320" t="s">
        <v>325</v>
      </c>
    </row>
  </sheetData>
  <mergeCells count="3">
    <mergeCell ref="B1:I1"/>
    <mergeCell ref="B2:I2"/>
    <mergeCell ref="B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10CF1-910A-48B0-AD90-CC2BC9948701}">
  <sheetPr>
    <tabColor theme="9" tint="-0.249977111117893"/>
  </sheetPr>
  <dimension ref="B1:E8"/>
  <sheetViews>
    <sheetView workbookViewId="0">
      <selection sqref="A1:XFD1048576"/>
    </sheetView>
  </sheetViews>
  <sheetFormatPr defaultColWidth="9.08984375" defaultRowHeight="13" x14ac:dyDescent="0.3"/>
  <cols>
    <col min="1" max="2" width="9.08984375" style="18"/>
    <col min="3" max="3" width="41.36328125" style="18" customWidth="1"/>
    <col min="4" max="4" width="44.6328125" style="18" customWidth="1"/>
    <col min="5" max="5" width="55.54296875" style="18" customWidth="1"/>
    <col min="6" max="16384" width="9.08984375" style="18"/>
  </cols>
  <sheetData>
    <row r="1" spans="2:5" ht="13.5" thickBot="1" x14ac:dyDescent="0.35"/>
    <row r="2" spans="2:5" x14ac:dyDescent="0.3">
      <c r="B2" s="710" t="s">
        <v>6</v>
      </c>
      <c r="C2" s="283" t="s">
        <v>335</v>
      </c>
      <c r="D2" s="283" t="s">
        <v>336</v>
      </c>
      <c r="E2" s="284" t="s">
        <v>341</v>
      </c>
    </row>
    <row r="3" spans="2:5" ht="65" x14ac:dyDescent="0.3">
      <c r="B3" s="701">
        <v>1</v>
      </c>
      <c r="C3" s="702" t="s">
        <v>339</v>
      </c>
      <c r="D3" s="702" t="s">
        <v>343</v>
      </c>
      <c r="E3" s="703" t="s">
        <v>349</v>
      </c>
    </row>
    <row r="4" spans="2:5" ht="39" x14ac:dyDescent="0.3">
      <c r="B4" s="701">
        <v>2</v>
      </c>
      <c r="C4" s="702" t="s">
        <v>337</v>
      </c>
      <c r="D4" s="702" t="s">
        <v>342</v>
      </c>
      <c r="E4" s="1094" t="s">
        <v>351</v>
      </c>
    </row>
    <row r="5" spans="2:5" ht="39" x14ac:dyDescent="0.3">
      <c r="B5" s="701">
        <v>3</v>
      </c>
      <c r="C5" s="702" t="s">
        <v>338</v>
      </c>
      <c r="D5" s="702" t="s">
        <v>344</v>
      </c>
      <c r="E5" s="1094"/>
    </row>
    <row r="6" spans="2:5" ht="26" x14ac:dyDescent="0.3">
      <c r="B6" s="701">
        <v>4</v>
      </c>
      <c r="C6" s="702" t="s">
        <v>340</v>
      </c>
      <c r="D6" s="704" t="s">
        <v>345</v>
      </c>
      <c r="E6" s="705" t="s">
        <v>352</v>
      </c>
    </row>
    <row r="7" spans="2:5" ht="26" x14ac:dyDescent="0.3">
      <c r="B7" s="701">
        <v>5</v>
      </c>
      <c r="C7" s="702" t="s">
        <v>350</v>
      </c>
      <c r="D7" s="702" t="s">
        <v>347</v>
      </c>
      <c r="E7" s="705" t="s">
        <v>353</v>
      </c>
    </row>
    <row r="8" spans="2:5" ht="44" customHeight="1" thickBot="1" x14ac:dyDescent="0.35">
      <c r="B8" s="706">
        <v>6</v>
      </c>
      <c r="C8" s="707" t="s">
        <v>346</v>
      </c>
      <c r="D8" s="708" t="s">
        <v>348</v>
      </c>
      <c r="E8" s="709" t="s">
        <v>354</v>
      </c>
    </row>
  </sheetData>
  <mergeCells count="1">
    <mergeCell ref="E4: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32C8-B232-4AFD-BC89-207BB5CB7EF6}">
  <sheetPr>
    <tabColor theme="5" tint="-0.249977111117893"/>
  </sheetPr>
  <dimension ref="B1:AA27"/>
  <sheetViews>
    <sheetView workbookViewId="0">
      <selection sqref="A1:XFD1048576"/>
    </sheetView>
  </sheetViews>
  <sheetFormatPr defaultColWidth="9.08984375" defaultRowHeight="13" x14ac:dyDescent="0.3"/>
  <cols>
    <col min="1" max="1" width="3" style="18" customWidth="1"/>
    <col min="2" max="2" width="9.6328125" style="18" customWidth="1"/>
    <col min="3" max="3" width="14.6328125" style="18" customWidth="1"/>
    <col min="4" max="4" width="8.36328125" style="18" customWidth="1"/>
    <col min="5" max="6" width="9.08984375" style="18"/>
    <col min="7" max="7" width="10.453125" style="18" customWidth="1"/>
    <col min="8" max="12" width="9.08984375" style="18"/>
    <col min="13" max="13" width="13" style="18" customWidth="1"/>
    <col min="14" max="16" width="9.08984375" style="18"/>
    <col min="17" max="17" width="12.90625" style="18" bestFit="1" customWidth="1"/>
    <col min="18" max="18" width="13.90625" style="18" customWidth="1"/>
    <col min="19" max="19" width="12.6328125" style="18" bestFit="1" customWidth="1"/>
    <col min="20" max="20" width="19.453125" style="18" bestFit="1" customWidth="1"/>
    <col min="21" max="21" width="15.90625" style="18" bestFit="1" customWidth="1"/>
    <col min="22" max="22" width="14.54296875" style="18" bestFit="1" customWidth="1"/>
    <col min="23" max="24" width="13.90625" style="18" bestFit="1" customWidth="1"/>
    <col min="25" max="25" width="8.08984375" style="18" bestFit="1" customWidth="1"/>
    <col min="26" max="26" width="12" style="18" bestFit="1" customWidth="1"/>
    <col min="27" max="27" width="17" style="18" bestFit="1" customWidth="1"/>
    <col min="28" max="16384" width="9.08984375" style="18"/>
  </cols>
  <sheetData>
    <row r="1" spans="2:27" ht="13.5" thickBot="1" x14ac:dyDescent="0.35"/>
    <row r="2" spans="2:27" ht="14" x14ac:dyDescent="0.3">
      <c r="B2" s="1095" t="s">
        <v>355</v>
      </c>
      <c r="C2" s="1095"/>
      <c r="D2" s="1095"/>
      <c r="E2" s="1095"/>
      <c r="F2" s="1095"/>
      <c r="G2" s="1095"/>
      <c r="H2" s="1095"/>
      <c r="I2" s="1095"/>
      <c r="J2" s="1095"/>
      <c r="K2" s="1095"/>
      <c r="L2" s="1095"/>
      <c r="M2" s="1095"/>
      <c r="O2" s="41"/>
      <c r="P2" s="321" t="s">
        <v>381</v>
      </c>
      <c r="Q2" s="322">
        <v>96632199700</v>
      </c>
    </row>
    <row r="3" spans="2:27" ht="13.5" thickBot="1" x14ac:dyDescent="0.35">
      <c r="O3" s="41"/>
      <c r="P3" s="323" t="s">
        <v>380</v>
      </c>
      <c r="Q3" s="324">
        <v>250000000</v>
      </c>
    </row>
    <row r="4" spans="2:27" ht="13.5" thickBot="1" x14ac:dyDescent="0.35">
      <c r="B4" s="1105" t="s">
        <v>373</v>
      </c>
      <c r="C4" s="1106"/>
      <c r="D4" s="1106"/>
      <c r="E4" s="1106"/>
      <c r="F4" s="1106"/>
      <c r="G4" s="1106"/>
      <c r="H4" s="1106"/>
      <c r="I4" s="1106"/>
      <c r="J4" s="1106"/>
      <c r="K4" s="1106"/>
      <c r="L4" s="1106"/>
      <c r="M4" s="1107"/>
      <c r="O4" s="41"/>
      <c r="P4" s="323" t="s">
        <v>379</v>
      </c>
      <c r="Q4" s="324">
        <v>6638620963.091177</v>
      </c>
      <c r="U4" s="325" t="s">
        <v>17</v>
      </c>
      <c r="V4" s="326"/>
      <c r="W4" s="326"/>
      <c r="X4" s="327"/>
      <c r="Y4" s="327"/>
      <c r="Z4" s="327"/>
      <c r="AA4" s="327"/>
    </row>
    <row r="5" spans="2:27" ht="13.5" thickBot="1" x14ac:dyDescent="0.35">
      <c r="B5" s="1121" t="s">
        <v>356</v>
      </c>
      <c r="C5" s="1122"/>
      <c r="D5" s="1123"/>
      <c r="E5" s="1121" t="s">
        <v>357</v>
      </c>
      <c r="F5" s="1122"/>
      <c r="G5" s="1123"/>
      <c r="H5" s="1121" t="s">
        <v>358</v>
      </c>
      <c r="I5" s="1122"/>
      <c r="J5" s="1123"/>
      <c r="K5" s="1121" t="s">
        <v>359</v>
      </c>
      <c r="L5" s="1122"/>
      <c r="M5" s="1123"/>
      <c r="O5" s="41"/>
      <c r="P5" s="323" t="s">
        <v>378</v>
      </c>
      <c r="Q5" s="328">
        <f>Q4/Q3</f>
        <v>26.554483852364708</v>
      </c>
      <c r="R5" s="329" t="s">
        <v>18</v>
      </c>
      <c r="S5" s="330" t="s">
        <v>386</v>
      </c>
      <c r="U5" s="281" t="s">
        <v>6</v>
      </c>
      <c r="V5" s="4" t="s">
        <v>5</v>
      </c>
      <c r="W5" s="4" t="s">
        <v>4</v>
      </c>
      <c r="X5" s="331" t="s">
        <v>93</v>
      </c>
      <c r="Y5" s="4" t="s">
        <v>7</v>
      </c>
      <c r="Z5" s="4" t="s">
        <v>8</v>
      </c>
      <c r="AA5" s="280" t="s">
        <v>10</v>
      </c>
    </row>
    <row r="6" spans="2:27" ht="40.25" customHeight="1" x14ac:dyDescent="0.3">
      <c r="B6" s="1120" t="s">
        <v>360</v>
      </c>
      <c r="C6" s="1118"/>
      <c r="D6" s="1119"/>
      <c r="E6" s="1108" t="s">
        <v>364</v>
      </c>
      <c r="F6" s="1109"/>
      <c r="G6" s="1110"/>
      <c r="H6" s="1117" t="s">
        <v>368</v>
      </c>
      <c r="I6" s="1118"/>
      <c r="J6" s="1119"/>
      <c r="K6" s="1126" t="s">
        <v>370</v>
      </c>
      <c r="L6" s="1127"/>
      <c r="M6" s="1128"/>
      <c r="O6" s="34" t="s">
        <v>383</v>
      </c>
      <c r="P6" s="1138" t="s">
        <v>382</v>
      </c>
      <c r="Q6" s="322">
        <v>5207</v>
      </c>
      <c r="R6" s="332">
        <v>37676000000</v>
      </c>
      <c r="S6" s="333">
        <f>R6/Q6</f>
        <v>7235644.3249471867</v>
      </c>
      <c r="U6" s="334">
        <v>1</v>
      </c>
      <c r="V6" s="335" t="s">
        <v>0</v>
      </c>
      <c r="W6" s="7">
        <v>40000000000</v>
      </c>
      <c r="X6" s="336">
        <v>37676000000</v>
      </c>
      <c r="Y6" s="337">
        <v>0.06</v>
      </c>
      <c r="Z6" s="338">
        <v>2256570776.4705882</v>
      </c>
      <c r="AA6" s="339" t="s">
        <v>12</v>
      </c>
    </row>
    <row r="7" spans="2:27" ht="27.65" customHeight="1" x14ac:dyDescent="0.3">
      <c r="B7" s="1111" t="s">
        <v>361</v>
      </c>
      <c r="C7" s="1124"/>
      <c r="D7" s="1125"/>
      <c r="E7" s="1111" t="s">
        <v>365</v>
      </c>
      <c r="F7" s="1112"/>
      <c r="G7" s="1113"/>
      <c r="H7" s="1136" t="s">
        <v>369</v>
      </c>
      <c r="I7" s="1109"/>
      <c r="J7" s="1110"/>
      <c r="K7" s="1129" t="s">
        <v>371</v>
      </c>
      <c r="L7" s="1127"/>
      <c r="M7" s="1128"/>
      <c r="O7" s="340" t="s">
        <v>385</v>
      </c>
      <c r="P7" s="1139"/>
      <c r="Q7" s="324">
        <v>8100</v>
      </c>
      <c r="R7" s="341">
        <v>11626813600</v>
      </c>
      <c r="S7" s="333">
        <f>R7/Q7</f>
        <v>1435409.086419753</v>
      </c>
      <c r="U7" s="334">
        <v>2</v>
      </c>
      <c r="V7" s="335" t="s">
        <v>1</v>
      </c>
      <c r="W7" s="7">
        <v>12344000000</v>
      </c>
      <c r="X7" s="336">
        <v>11626813600</v>
      </c>
      <c r="Y7" s="342">
        <v>7.4999999999999997E-2</v>
      </c>
      <c r="Z7" s="338">
        <v>870472177.02352929</v>
      </c>
      <c r="AA7" s="339" t="s">
        <v>11</v>
      </c>
    </row>
    <row r="8" spans="2:27" x14ac:dyDescent="0.3">
      <c r="B8" s="1111" t="s">
        <v>362</v>
      </c>
      <c r="C8" s="1112"/>
      <c r="D8" s="1113"/>
      <c r="E8" s="1111" t="s">
        <v>366</v>
      </c>
      <c r="F8" s="1112"/>
      <c r="G8" s="1113"/>
      <c r="H8" s="1136"/>
      <c r="I8" s="1109"/>
      <c r="J8" s="1110"/>
      <c r="K8" s="1130" t="s">
        <v>400</v>
      </c>
      <c r="L8" s="1131"/>
      <c r="M8" s="1132"/>
      <c r="O8" s="34" t="s">
        <v>48</v>
      </c>
      <c r="P8" s="1139"/>
      <c r="Q8" s="56">
        <v>36700</v>
      </c>
      <c r="R8" s="341">
        <v>11626813600</v>
      </c>
      <c r="S8" s="333">
        <f t="shared" ref="S8:S10" si="0">R8/Q8</f>
        <v>316806.91008174384</v>
      </c>
      <c r="U8" s="334">
        <v>3</v>
      </c>
      <c r="V8" s="335" t="s">
        <v>3</v>
      </c>
      <c r="W8" s="7">
        <v>12344000000</v>
      </c>
      <c r="X8" s="336">
        <v>11626813600</v>
      </c>
      <c r="Y8" s="342">
        <v>7.4999999999999997E-2</v>
      </c>
      <c r="Z8" s="338">
        <v>870472177.02352929</v>
      </c>
      <c r="AA8" s="339" t="s">
        <v>11</v>
      </c>
    </row>
    <row r="9" spans="2:27" ht="29" customHeight="1" thickBot="1" x14ac:dyDescent="0.35">
      <c r="B9" s="1114" t="s">
        <v>363</v>
      </c>
      <c r="C9" s="1115"/>
      <c r="D9" s="1116"/>
      <c r="E9" s="1114" t="s">
        <v>367</v>
      </c>
      <c r="F9" s="1115"/>
      <c r="G9" s="1116"/>
      <c r="H9" s="1137"/>
      <c r="I9" s="1115"/>
      <c r="J9" s="1116"/>
      <c r="K9" s="1133" t="s">
        <v>372</v>
      </c>
      <c r="L9" s="1134"/>
      <c r="M9" s="1135"/>
      <c r="O9" s="34" t="s">
        <v>384</v>
      </c>
      <c r="P9" s="1139"/>
      <c r="Q9" s="56">
        <v>4500</v>
      </c>
      <c r="R9" s="341">
        <v>15425725000</v>
      </c>
      <c r="S9" s="333">
        <f t="shared" si="0"/>
        <v>3427938.888888889</v>
      </c>
      <c r="U9" s="334">
        <v>4</v>
      </c>
      <c r="V9" s="335" t="s">
        <v>9</v>
      </c>
      <c r="W9" s="7">
        <v>17045000000</v>
      </c>
      <c r="X9" s="336">
        <v>15425725000</v>
      </c>
      <c r="Y9" s="337">
        <v>0.1</v>
      </c>
      <c r="Z9" s="338">
        <v>1539850313.2352941</v>
      </c>
      <c r="AA9" s="339" t="s">
        <v>14</v>
      </c>
    </row>
    <row r="10" spans="2:27" ht="13.5" thickBot="1" x14ac:dyDescent="0.35">
      <c r="B10" s="1096"/>
      <c r="C10" s="1097"/>
      <c r="D10" s="1097"/>
      <c r="O10" s="343" t="s">
        <v>15</v>
      </c>
      <c r="P10" s="1140"/>
      <c r="Q10" s="344">
        <v>40900</v>
      </c>
      <c r="R10" s="345">
        <v>20276847500</v>
      </c>
      <c r="S10" s="346">
        <f t="shared" si="0"/>
        <v>495766.44254278729</v>
      </c>
      <c r="U10" s="334">
        <v>5</v>
      </c>
      <c r="V10" s="335" t="s">
        <v>15</v>
      </c>
      <c r="W10" s="347">
        <f>40500000000-W9</f>
        <v>23455000000</v>
      </c>
      <c r="X10" s="336">
        <v>20276847500</v>
      </c>
      <c r="Y10" s="337">
        <v>0.05</v>
      </c>
      <c r="Z10" s="338">
        <v>618094520.83823538</v>
      </c>
      <c r="AA10" s="339" t="s">
        <v>16</v>
      </c>
    </row>
    <row r="11" spans="2:27" ht="13.5" thickBot="1" x14ac:dyDescent="0.35">
      <c r="B11" s="1100" t="s">
        <v>374</v>
      </c>
      <c r="C11" s="1101"/>
      <c r="D11" s="1101"/>
      <c r="E11" s="1101"/>
      <c r="F11" s="1101"/>
      <c r="G11" s="1101"/>
      <c r="H11" s="1101"/>
      <c r="I11" s="1101"/>
      <c r="J11" s="1101"/>
      <c r="K11" s="1101"/>
      <c r="L11" s="1101"/>
      <c r="M11" s="1102"/>
      <c r="U11" s="941" t="s">
        <v>13</v>
      </c>
      <c r="V11" s="348"/>
      <c r="W11" s="127">
        <f>SUM(W6:W10)</f>
        <v>105188000000</v>
      </c>
      <c r="X11" s="127">
        <f>SUM(X6:X10)</f>
        <v>96632199700</v>
      </c>
      <c r="Y11" s="349">
        <f>AVERAGE(Y6:Y10)</f>
        <v>7.2000000000000008E-2</v>
      </c>
      <c r="Z11" s="127">
        <f>SUM(Z6:Z10)</f>
        <v>6155459964.591177</v>
      </c>
      <c r="AA11" s="350">
        <f>Z11/W11</f>
        <v>5.8518651981130709E-2</v>
      </c>
    </row>
    <row r="12" spans="2:27" ht="13.5" thickBot="1" x14ac:dyDescent="0.35">
      <c r="B12" s="1098" t="s">
        <v>375</v>
      </c>
      <c r="C12" s="1099"/>
      <c r="D12" s="1099"/>
      <c r="E12" s="1103" t="s">
        <v>376</v>
      </c>
      <c r="F12" s="1099"/>
      <c r="G12" s="1099"/>
      <c r="H12" s="1103" t="s">
        <v>390</v>
      </c>
      <c r="I12" s="1099"/>
      <c r="J12" s="1099"/>
      <c r="K12" s="1103" t="s">
        <v>377</v>
      </c>
      <c r="L12" s="1099"/>
      <c r="M12" s="1104"/>
      <c r="U12" s="942"/>
      <c r="V12" s="351"/>
      <c r="W12" s="352"/>
      <c r="X12" s="326"/>
      <c r="Y12" s="353">
        <v>5.0000000000000001E-3</v>
      </c>
      <c r="Z12" s="352">
        <f>Y12*X42</f>
        <v>0</v>
      </c>
      <c r="AA12" s="354"/>
    </row>
    <row r="13" spans="2:27" ht="13.5" thickBot="1" x14ac:dyDescent="0.35">
      <c r="B13" s="1163" t="s">
        <v>387</v>
      </c>
      <c r="C13" s="1164"/>
      <c r="D13" s="1165"/>
      <c r="E13" s="1117" t="s">
        <v>389</v>
      </c>
      <c r="F13" s="1141"/>
      <c r="G13" s="1142"/>
      <c r="H13" s="1117" t="s">
        <v>388</v>
      </c>
      <c r="I13" s="1118"/>
      <c r="J13" s="1119"/>
      <c r="K13" s="1117" t="s">
        <v>391</v>
      </c>
      <c r="L13" s="1118"/>
      <c r="M13" s="1119"/>
      <c r="U13" s="943"/>
      <c r="V13" s="351"/>
      <c r="W13" s="352"/>
      <c r="X13" s="326"/>
      <c r="Y13" s="353"/>
      <c r="Z13" s="352">
        <f>SUM(Z11:Z12)</f>
        <v>6155459964.591177</v>
      </c>
      <c r="AA13" s="354"/>
    </row>
    <row r="14" spans="2:27" x14ac:dyDescent="0.3">
      <c r="B14" s="1166"/>
      <c r="C14" s="1167"/>
      <c r="D14" s="1168"/>
      <c r="E14" s="1136"/>
      <c r="F14" s="1109"/>
      <c r="G14" s="1110"/>
      <c r="H14" s="1143"/>
      <c r="I14" s="1112"/>
      <c r="J14" s="1113"/>
      <c r="K14" s="1143"/>
      <c r="L14" s="1112"/>
      <c r="M14" s="1113"/>
    </row>
    <row r="15" spans="2:27" x14ac:dyDescent="0.3">
      <c r="B15" s="1166"/>
      <c r="C15" s="1167"/>
      <c r="D15" s="1168"/>
      <c r="E15" s="1136"/>
      <c r="F15" s="1109"/>
      <c r="G15" s="1110"/>
      <c r="H15" s="1143"/>
      <c r="I15" s="1112"/>
      <c r="J15" s="1113"/>
      <c r="K15" s="1143"/>
      <c r="L15" s="1112"/>
      <c r="M15" s="1113"/>
    </row>
    <row r="16" spans="2:27" x14ac:dyDescent="0.3">
      <c r="B16" s="1166"/>
      <c r="C16" s="1167"/>
      <c r="D16" s="1168"/>
      <c r="E16" s="1136"/>
      <c r="F16" s="1109"/>
      <c r="G16" s="1110"/>
      <c r="H16" s="1143"/>
      <c r="I16" s="1112"/>
      <c r="J16" s="1113"/>
      <c r="K16" s="1143"/>
      <c r="L16" s="1112"/>
      <c r="M16" s="1113"/>
    </row>
    <row r="17" spans="2:13" ht="13.5" thickBot="1" x14ac:dyDescent="0.35">
      <c r="B17" s="1169"/>
      <c r="C17" s="1170"/>
      <c r="D17" s="1171"/>
      <c r="E17" s="1137"/>
      <c r="F17" s="1115"/>
      <c r="G17" s="1116"/>
      <c r="H17" s="1144"/>
      <c r="I17" s="1145"/>
      <c r="J17" s="1146"/>
      <c r="K17" s="1144"/>
      <c r="L17" s="1145"/>
      <c r="M17" s="1146"/>
    </row>
    <row r="19" spans="2:13" ht="13.5" thickBot="1" x14ac:dyDescent="0.35">
      <c r="B19" s="1172" t="s">
        <v>392</v>
      </c>
      <c r="C19" s="1172"/>
      <c r="D19" s="1172"/>
      <c r="E19" s="1172"/>
      <c r="F19" s="1172"/>
      <c r="G19" s="1172"/>
      <c r="H19" s="1172"/>
      <c r="I19" s="1172"/>
      <c r="J19" s="1172"/>
      <c r="K19" s="1172"/>
      <c r="L19" s="1172"/>
      <c r="M19" s="1172"/>
    </row>
    <row r="20" spans="2:13" ht="13.5" thickBot="1" x14ac:dyDescent="0.35">
      <c r="B20" s="1105" t="s">
        <v>393</v>
      </c>
      <c r="C20" s="1106"/>
      <c r="D20" s="1107"/>
      <c r="E20" s="1105" t="s">
        <v>394</v>
      </c>
      <c r="F20" s="1106"/>
      <c r="G20" s="1107"/>
      <c r="H20" s="1105" t="s">
        <v>395</v>
      </c>
      <c r="I20" s="1106"/>
      <c r="J20" s="1107"/>
      <c r="K20" s="1173" t="s">
        <v>396</v>
      </c>
      <c r="L20" s="1174"/>
      <c r="M20" s="1175"/>
    </row>
    <row r="21" spans="2:13" ht="25.25" customHeight="1" x14ac:dyDescent="0.3">
      <c r="B21" s="1117" t="s">
        <v>397</v>
      </c>
      <c r="C21" s="1147"/>
      <c r="D21" s="1148"/>
      <c r="E21" s="1153" t="s">
        <v>398</v>
      </c>
      <c r="F21" s="1154"/>
      <c r="G21" s="1155"/>
      <c r="H21" s="1117" t="s">
        <v>399</v>
      </c>
      <c r="I21" s="1141"/>
      <c r="J21" s="1142"/>
      <c r="K21" s="1162" t="s">
        <v>402</v>
      </c>
      <c r="L21" s="1118"/>
      <c r="M21" s="1119"/>
    </row>
    <row r="22" spans="2:13" x14ac:dyDescent="0.3">
      <c r="B22" s="1108"/>
      <c r="C22" s="1149"/>
      <c r="D22" s="1150"/>
      <c r="E22" s="1156"/>
      <c r="F22" s="1157"/>
      <c r="G22" s="1158"/>
      <c r="H22" s="1136"/>
      <c r="I22" s="1109"/>
      <c r="J22" s="1110"/>
      <c r="K22" s="1143"/>
      <c r="L22" s="1112"/>
      <c r="M22" s="1113"/>
    </row>
    <row r="23" spans="2:13" x14ac:dyDescent="0.3">
      <c r="B23" s="1108"/>
      <c r="C23" s="1149"/>
      <c r="D23" s="1150"/>
      <c r="E23" s="1156"/>
      <c r="F23" s="1157"/>
      <c r="G23" s="1158"/>
      <c r="H23" s="1136"/>
      <c r="I23" s="1109"/>
      <c r="J23" s="1110"/>
      <c r="K23" s="1143"/>
      <c r="L23" s="1112"/>
      <c r="M23" s="1113"/>
    </row>
    <row r="24" spans="2:13" x14ac:dyDescent="0.3">
      <c r="B24" s="1108"/>
      <c r="C24" s="1149"/>
      <c r="D24" s="1150"/>
      <c r="E24" s="1156"/>
      <c r="F24" s="1157"/>
      <c r="G24" s="1158"/>
      <c r="H24" s="1136"/>
      <c r="I24" s="1109"/>
      <c r="J24" s="1110"/>
      <c r="K24" s="1143"/>
      <c r="L24" s="1112"/>
      <c r="M24" s="1113"/>
    </row>
    <row r="25" spans="2:13" ht="13.5" thickBot="1" x14ac:dyDescent="0.35">
      <c r="B25" s="1114"/>
      <c r="C25" s="1151"/>
      <c r="D25" s="1152"/>
      <c r="E25" s="1159"/>
      <c r="F25" s="1160"/>
      <c r="G25" s="1161"/>
      <c r="H25" s="1137"/>
      <c r="I25" s="1115"/>
      <c r="J25" s="1116"/>
      <c r="K25" s="1144"/>
      <c r="L25" s="1145"/>
      <c r="M25" s="1146"/>
    </row>
    <row r="27" spans="2:13" x14ac:dyDescent="0.3">
      <c r="B27" s="14" t="s">
        <v>401</v>
      </c>
      <c r="C27" s="14"/>
      <c r="D27" s="25"/>
      <c r="E27" s="25"/>
      <c r="F27" s="25"/>
      <c r="G27" s="25"/>
      <c r="H27" s="25"/>
      <c r="I27" s="25"/>
      <c r="J27" s="25"/>
      <c r="K27" s="25"/>
      <c r="L27" s="25"/>
      <c r="M27" s="25"/>
    </row>
  </sheetData>
  <mergeCells count="41">
    <mergeCell ref="E13:G17"/>
    <mergeCell ref="H13:J17"/>
    <mergeCell ref="K13:M17"/>
    <mergeCell ref="B21:D25"/>
    <mergeCell ref="E21:G25"/>
    <mergeCell ref="H21:J25"/>
    <mergeCell ref="K21:M25"/>
    <mergeCell ref="B13:D17"/>
    <mergeCell ref="B19:M19"/>
    <mergeCell ref="B20:D20"/>
    <mergeCell ref="E20:G20"/>
    <mergeCell ref="H20:J20"/>
    <mergeCell ref="K20:M20"/>
    <mergeCell ref="K8:M8"/>
    <mergeCell ref="K9:M9"/>
    <mergeCell ref="H7:J9"/>
    <mergeCell ref="U11:U13"/>
    <mergeCell ref="P6:P10"/>
    <mergeCell ref="B5:D5"/>
    <mergeCell ref="E5:G5"/>
    <mergeCell ref="H5:J5"/>
    <mergeCell ref="K5:M5"/>
    <mergeCell ref="B7:D7"/>
    <mergeCell ref="K6:M6"/>
    <mergeCell ref="K7:M7"/>
    <mergeCell ref="B2:M2"/>
    <mergeCell ref="B10:D10"/>
    <mergeCell ref="B12:D12"/>
    <mergeCell ref="B11:M11"/>
    <mergeCell ref="E12:G12"/>
    <mergeCell ref="H12:J12"/>
    <mergeCell ref="K12:M12"/>
    <mergeCell ref="B4:M4"/>
    <mergeCell ref="E6:G6"/>
    <mergeCell ref="E7:G7"/>
    <mergeCell ref="E8:G8"/>
    <mergeCell ref="E9:G9"/>
    <mergeCell ref="H6:J6"/>
    <mergeCell ref="B6:D6"/>
    <mergeCell ref="B8:D8"/>
    <mergeCell ref="B9:D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2D98-F555-49EF-9F6D-26458423A3EB}">
  <sheetPr>
    <tabColor theme="9"/>
  </sheetPr>
  <dimension ref="B2:M18"/>
  <sheetViews>
    <sheetView workbookViewId="0">
      <selection activeCell="A4" sqref="A1:XFD1048576"/>
    </sheetView>
  </sheetViews>
  <sheetFormatPr defaultColWidth="9.08984375" defaultRowHeight="14" x14ac:dyDescent="0.3"/>
  <cols>
    <col min="1" max="1" width="6" style="1" customWidth="1"/>
    <col min="2" max="4" width="9.08984375" style="1"/>
    <col min="5" max="5" width="11.90625" style="1" customWidth="1"/>
    <col min="6" max="6" width="10.36328125" style="1" customWidth="1"/>
    <col min="7" max="7" width="18.08984375" style="1" customWidth="1"/>
    <col min="8" max="8" width="9.08984375" style="1"/>
    <col min="9" max="9" width="14.08984375" style="1" customWidth="1"/>
    <col min="10" max="10" width="9.08984375" style="1"/>
    <col min="11" max="11" width="15.90625" style="1" customWidth="1"/>
    <col min="12" max="12" width="9.08984375" style="1"/>
    <col min="13" max="13" width="18" style="1" customWidth="1"/>
    <col min="14" max="16384" width="9.08984375" style="1"/>
  </cols>
  <sheetData>
    <row r="2" spans="2:13" x14ac:dyDescent="0.3">
      <c r="B2" s="1179" t="s">
        <v>424</v>
      </c>
      <c r="C2" s="1179"/>
      <c r="D2" s="1179"/>
      <c r="E2" s="1179"/>
    </row>
    <row r="3" spans="2:13" ht="14.5" thickBot="1" x14ac:dyDescent="0.35">
      <c r="B3" s="1185"/>
      <c r="C3" s="1185"/>
      <c r="D3" s="1185"/>
      <c r="E3" s="1185"/>
    </row>
    <row r="4" spans="2:13" x14ac:dyDescent="0.3">
      <c r="B4" s="1194"/>
      <c r="C4" s="1190"/>
      <c r="D4" s="1190" t="s">
        <v>403</v>
      </c>
      <c r="E4" s="1190"/>
      <c r="F4" s="1190" t="s">
        <v>404</v>
      </c>
      <c r="G4" s="1190"/>
      <c r="H4" s="1190" t="s">
        <v>405</v>
      </c>
      <c r="I4" s="1190"/>
      <c r="J4" s="1190" t="s">
        <v>406</v>
      </c>
      <c r="K4" s="1190"/>
      <c r="L4" s="1190" t="s">
        <v>407</v>
      </c>
      <c r="M4" s="1191"/>
    </row>
    <row r="5" spans="2:13" ht="31.25" customHeight="1" x14ac:dyDescent="0.3">
      <c r="B5" s="1197" t="s">
        <v>403</v>
      </c>
      <c r="C5" s="1198"/>
      <c r="D5" s="1201" t="s">
        <v>409</v>
      </c>
      <c r="E5" s="1201"/>
      <c r="F5" s="1204" t="s">
        <v>410</v>
      </c>
      <c r="G5" s="1204"/>
      <c r="H5" s="1204" t="s">
        <v>412</v>
      </c>
      <c r="I5" s="1204"/>
      <c r="J5" s="1204" t="s">
        <v>411</v>
      </c>
      <c r="K5" s="1204"/>
      <c r="L5" s="1204" t="s">
        <v>413</v>
      </c>
      <c r="M5" s="1206"/>
    </row>
    <row r="6" spans="2:13" s="355" customFormat="1" ht="33.65" customHeight="1" x14ac:dyDescent="0.35">
      <c r="B6" s="1178" t="s">
        <v>408</v>
      </c>
      <c r="C6" s="1179"/>
      <c r="D6" s="1195"/>
      <c r="E6" s="1195"/>
      <c r="F6" s="1201" t="s">
        <v>414</v>
      </c>
      <c r="G6" s="1201"/>
      <c r="H6" s="1204" t="s">
        <v>415</v>
      </c>
      <c r="I6" s="1204"/>
      <c r="J6" s="1204" t="s">
        <v>418</v>
      </c>
      <c r="K6" s="1204"/>
      <c r="L6" s="1204" t="s">
        <v>416</v>
      </c>
      <c r="M6" s="1206"/>
    </row>
    <row r="7" spans="2:13" ht="30" customHeight="1" x14ac:dyDescent="0.3">
      <c r="B7" s="1197" t="s">
        <v>405</v>
      </c>
      <c r="C7" s="1198"/>
      <c r="D7" s="1195"/>
      <c r="E7" s="1195"/>
      <c r="F7" s="1195"/>
      <c r="G7" s="1195"/>
      <c r="H7" s="1205" t="s">
        <v>417</v>
      </c>
      <c r="I7" s="1205"/>
      <c r="J7" s="1204" t="s">
        <v>419</v>
      </c>
      <c r="K7" s="1204"/>
      <c r="L7" s="1204" t="s">
        <v>420</v>
      </c>
      <c r="M7" s="1206"/>
    </row>
    <row r="8" spans="2:13" ht="27" customHeight="1" x14ac:dyDescent="0.3">
      <c r="B8" s="1197" t="s">
        <v>406</v>
      </c>
      <c r="C8" s="1198"/>
      <c r="D8" s="1195"/>
      <c r="E8" s="1195"/>
      <c r="F8" s="1195"/>
      <c r="G8" s="1195"/>
      <c r="H8" s="1195"/>
      <c r="I8" s="1195"/>
      <c r="J8" s="1201" t="s">
        <v>422</v>
      </c>
      <c r="K8" s="1201"/>
      <c r="L8" s="1204" t="s">
        <v>423</v>
      </c>
      <c r="M8" s="1206"/>
    </row>
    <row r="9" spans="2:13" ht="26.4" customHeight="1" thickBot="1" x14ac:dyDescent="0.35">
      <c r="B9" s="1199" t="s">
        <v>407</v>
      </c>
      <c r="C9" s="1200"/>
      <c r="D9" s="1196"/>
      <c r="E9" s="1196"/>
      <c r="F9" s="1196"/>
      <c r="G9" s="1196"/>
      <c r="H9" s="1196"/>
      <c r="I9" s="1196"/>
      <c r="J9" s="1196"/>
      <c r="K9" s="1196"/>
      <c r="L9" s="1202" t="s">
        <v>421</v>
      </c>
      <c r="M9" s="1203"/>
    </row>
    <row r="11" spans="2:13" x14ac:dyDescent="0.3">
      <c r="B11" s="1193" t="s">
        <v>425</v>
      </c>
      <c r="C11" s="1193"/>
      <c r="D11" s="1193"/>
      <c r="E11" s="1193"/>
    </row>
    <row r="12" spans="2:13" ht="14.5" thickBot="1" x14ac:dyDescent="0.35"/>
    <row r="13" spans="2:13" x14ac:dyDescent="0.3">
      <c r="B13" s="1194"/>
      <c r="C13" s="1190"/>
      <c r="D13" s="1190" t="s">
        <v>403</v>
      </c>
      <c r="E13" s="1190"/>
      <c r="F13" s="1190" t="s">
        <v>404</v>
      </c>
      <c r="G13" s="1190"/>
      <c r="H13" s="1190" t="s">
        <v>405</v>
      </c>
      <c r="I13" s="1190"/>
      <c r="J13" s="1190" t="s">
        <v>406</v>
      </c>
      <c r="K13" s="1190"/>
      <c r="L13" s="1190" t="s">
        <v>407</v>
      </c>
      <c r="M13" s="1191"/>
    </row>
    <row r="14" spans="2:13" ht="68.400000000000006" customHeight="1" x14ac:dyDescent="0.3">
      <c r="B14" s="1178" t="s">
        <v>403</v>
      </c>
      <c r="C14" s="1179"/>
      <c r="D14" s="1180" t="s">
        <v>501</v>
      </c>
      <c r="E14" s="1181"/>
      <c r="F14" s="1192" t="s">
        <v>489</v>
      </c>
      <c r="G14" s="1192"/>
      <c r="H14" s="1182" t="s">
        <v>412</v>
      </c>
      <c r="I14" s="1182"/>
      <c r="J14" s="1182" t="s">
        <v>491</v>
      </c>
      <c r="K14" s="1182"/>
      <c r="L14" s="1187" t="s">
        <v>490</v>
      </c>
      <c r="M14" s="1183"/>
    </row>
    <row r="15" spans="2:13" ht="85.25" customHeight="1" x14ac:dyDescent="0.3">
      <c r="B15" s="1178" t="s">
        <v>408</v>
      </c>
      <c r="C15" s="1179"/>
      <c r="D15" s="1127"/>
      <c r="E15" s="1127"/>
      <c r="F15" s="1180" t="s">
        <v>493</v>
      </c>
      <c r="G15" s="1181"/>
      <c r="H15" s="1187" t="s">
        <v>496</v>
      </c>
      <c r="I15" s="1182"/>
      <c r="J15" s="1187" t="s">
        <v>497</v>
      </c>
      <c r="K15" s="1182"/>
      <c r="L15" s="1182" t="s">
        <v>499</v>
      </c>
      <c r="M15" s="1183"/>
    </row>
    <row r="16" spans="2:13" ht="49.25" customHeight="1" x14ac:dyDescent="0.3">
      <c r="B16" s="1178" t="s">
        <v>405</v>
      </c>
      <c r="C16" s="1179"/>
      <c r="D16" s="1127"/>
      <c r="E16" s="1127"/>
      <c r="F16" s="1127"/>
      <c r="G16" s="1127"/>
      <c r="H16" s="1188" t="s">
        <v>492</v>
      </c>
      <c r="I16" s="1189"/>
      <c r="J16" s="1187" t="s">
        <v>498</v>
      </c>
      <c r="K16" s="1182"/>
      <c r="L16" s="1182" t="s">
        <v>500</v>
      </c>
      <c r="M16" s="1183"/>
    </row>
    <row r="17" spans="2:13" ht="50" customHeight="1" x14ac:dyDescent="0.3">
      <c r="B17" s="1178" t="s">
        <v>406</v>
      </c>
      <c r="C17" s="1179"/>
      <c r="D17" s="1127"/>
      <c r="E17" s="1127"/>
      <c r="F17" s="1127"/>
      <c r="G17" s="1127"/>
      <c r="H17" s="1127"/>
      <c r="I17" s="1127"/>
      <c r="J17" s="1180" t="s">
        <v>494</v>
      </c>
      <c r="K17" s="1181"/>
      <c r="L17" s="1182" t="s">
        <v>500</v>
      </c>
      <c r="M17" s="1183"/>
    </row>
    <row r="18" spans="2:13" ht="41.4" customHeight="1" thickBot="1" x14ac:dyDescent="0.35">
      <c r="B18" s="1184" t="s">
        <v>407</v>
      </c>
      <c r="C18" s="1185"/>
      <c r="D18" s="1186"/>
      <c r="E18" s="1186"/>
      <c r="F18" s="1186"/>
      <c r="G18" s="1186"/>
      <c r="H18" s="1186"/>
      <c r="I18" s="1186"/>
      <c r="J18" s="1186"/>
      <c r="K18" s="1186"/>
      <c r="L18" s="1176" t="s">
        <v>495</v>
      </c>
      <c r="M18" s="1177"/>
    </row>
  </sheetData>
  <mergeCells count="74">
    <mergeCell ref="H4:I4"/>
    <mergeCell ref="J4:K4"/>
    <mergeCell ref="L4:M4"/>
    <mergeCell ref="B5:C5"/>
    <mergeCell ref="B6:C6"/>
    <mergeCell ref="F5:G5"/>
    <mergeCell ref="F6:G6"/>
    <mergeCell ref="B2:E3"/>
    <mergeCell ref="L9:M9"/>
    <mergeCell ref="J6:K6"/>
    <mergeCell ref="J7:K7"/>
    <mergeCell ref="J8:K8"/>
    <mergeCell ref="J9:K9"/>
    <mergeCell ref="H6:I6"/>
    <mergeCell ref="H7:I7"/>
    <mergeCell ref="H8:I8"/>
    <mergeCell ref="H9:I9"/>
    <mergeCell ref="H5:I5"/>
    <mergeCell ref="J5:K5"/>
    <mergeCell ref="L5:M5"/>
    <mergeCell ref="L6:M6"/>
    <mergeCell ref="L7:M7"/>
    <mergeCell ref="L8:M8"/>
    <mergeCell ref="F7:G7"/>
    <mergeCell ref="F8:G8"/>
    <mergeCell ref="F9:G9"/>
    <mergeCell ref="B4:C4"/>
    <mergeCell ref="B8:C8"/>
    <mergeCell ref="B9:C9"/>
    <mergeCell ref="D5:E5"/>
    <mergeCell ref="D6:E6"/>
    <mergeCell ref="D7:E7"/>
    <mergeCell ref="D8:E8"/>
    <mergeCell ref="D9:E9"/>
    <mergeCell ref="D4:E4"/>
    <mergeCell ref="F4:G4"/>
    <mergeCell ref="B7:C7"/>
    <mergeCell ref="B11:E11"/>
    <mergeCell ref="B13:C13"/>
    <mergeCell ref="D13:E13"/>
    <mergeCell ref="F13:G13"/>
    <mergeCell ref="H13:I13"/>
    <mergeCell ref="L13:M13"/>
    <mergeCell ref="B14:C14"/>
    <mergeCell ref="D14:E14"/>
    <mergeCell ref="F14:G14"/>
    <mergeCell ref="H14:I14"/>
    <mergeCell ref="J14:K14"/>
    <mergeCell ref="L14:M14"/>
    <mergeCell ref="J13:K13"/>
    <mergeCell ref="L16:M16"/>
    <mergeCell ref="B15:C15"/>
    <mergeCell ref="D15:E15"/>
    <mergeCell ref="F15:G15"/>
    <mergeCell ref="H15:I15"/>
    <mergeCell ref="J15:K15"/>
    <mergeCell ref="L15:M15"/>
    <mergeCell ref="B16:C16"/>
    <mergeCell ref="D16:E16"/>
    <mergeCell ref="F16:G16"/>
    <mergeCell ref="H16:I16"/>
    <mergeCell ref="J16:K16"/>
    <mergeCell ref="L18:M18"/>
    <mergeCell ref="B17:C17"/>
    <mergeCell ref="D17:E17"/>
    <mergeCell ref="F17:G17"/>
    <mergeCell ref="H17:I17"/>
    <mergeCell ref="J17:K17"/>
    <mergeCell ref="L17:M17"/>
    <mergeCell ref="B18:C18"/>
    <mergeCell ref="D18:E18"/>
    <mergeCell ref="F18:G18"/>
    <mergeCell ref="H18:I18"/>
    <mergeCell ref="J18:K1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6CA15-AF67-4154-871F-3E7CF55595E6}">
  <dimension ref="A1"/>
  <sheetViews>
    <sheetView workbookViewId="0">
      <selection activeCell="U20" sqref="U20"/>
    </sheetView>
  </sheetViews>
  <sheetFormatPr defaultRowHeight="14.5" x14ac:dyDescent="0.3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2642-5F14-42D1-9A14-C576679EC570}">
  <dimension ref="A1"/>
  <sheetViews>
    <sheetView workbookViewId="0">
      <selection activeCell="U20" sqref="U20"/>
    </sheetView>
  </sheetViews>
  <sheetFormatPr defaultRowHeight="14.5" x14ac:dyDescent="0.3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32F6-90F1-4D1A-8C8B-FF315402E1BD}">
  <dimension ref="A1"/>
  <sheetViews>
    <sheetView topLeftCell="D1" workbookViewId="0">
      <selection activeCell="U20" sqref="U20"/>
    </sheetView>
  </sheetViews>
  <sheetFormatPr defaultRowHeight="14.5" x14ac:dyDescent="0.3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FCAE-46CF-4D8C-AE79-099D5F02A58B}">
  <dimension ref="A1"/>
  <sheetViews>
    <sheetView workbookViewId="0">
      <selection activeCell="U20" sqref="U20"/>
    </sheetView>
  </sheetViews>
  <sheetFormatPr defaultRowHeight="14.5" x14ac:dyDescent="0.3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B409-45FA-4990-B5A6-83CCE02BB960}">
  <dimension ref="A1"/>
  <sheetViews>
    <sheetView workbookViewId="0">
      <selection activeCell="U20" sqref="U20"/>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MASTER PLAN</vt:lpstr>
      <vt:lpstr>Sheet1</vt:lpstr>
      <vt:lpstr>PA Q4.2021</vt:lpstr>
      <vt:lpstr>BUDGET</vt:lpstr>
      <vt:lpstr>KPI&amp; CRT%</vt:lpstr>
      <vt:lpstr>KSF MKT</vt:lpstr>
      <vt:lpstr>Ngân sách dự phòng</vt:lpstr>
      <vt:lpstr>Phân loại điểm bán GT</vt:lpstr>
      <vt:lpstr>Phân loại điểm bán MT</vt:lpstr>
      <vt:lpstr>Đặc tính outlet GT &amp; MT</vt:lpstr>
      <vt:lpstr>5W1H PLAN</vt:lpstr>
      <vt:lpstr>Direct MKT (cust-shop)</vt:lpstr>
      <vt:lpstr>Consumer Image &amp; behavior (end)</vt:lpstr>
      <vt:lpstr>PROF  &amp; SOLUTION</vt:lpstr>
      <vt:lpstr>Định hướng IMC</vt:lpstr>
      <vt:lpstr>CL tích hợp</vt:lpstr>
      <vt:lpstr>Trade MKT</vt:lpstr>
      <vt:lpstr>Brand Mkt</vt:lpstr>
      <vt:lpstr>PR Plan</vt:lpstr>
      <vt:lpstr>Product Plan</vt:lpstr>
      <vt:lpstr>COMBINE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2025-10-02T07:33:54Z</dcterms:modified>
</cp:coreProperties>
</file>